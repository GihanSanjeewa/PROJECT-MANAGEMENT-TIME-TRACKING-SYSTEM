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amp; Overview" sheetId="1" state="visible" r:id="rId1"/>
    <sheet xmlns:r="http://schemas.openxmlformats.org/officeDocument/2006/relationships" name="Step-by-Step Roadmap" sheetId="2" state="visible" r:id="rId2"/>
    <sheet xmlns:r="http://schemas.openxmlformats.org/officeDocument/2006/relationships" name="Full Task Breakdown" sheetId="3" state="visible" r:id="rId3"/>
    <sheet xmlns:r="http://schemas.openxmlformats.org/officeDocument/2006/relationships" name="Go Architecture &amp; DB Schema" sheetId="4" state="visible" r:id="rId4"/>
    <sheet xmlns:r="http://schemas.openxmlformats.org/officeDocument/2006/relationships" name="Zero-Bug QA Checklist" sheetId="5" state="visible" r:id="rId5"/>
  </sheets>
  <definedNames>
    <definedName name="_xlnm._FilterDatabase" localSheetId="1" hidden="1">'Step-by-Step Roadmap'!$A$4:$L$24</definedName>
    <definedName name="_xlnm._FilterDatabase" localSheetId="2" hidden="1">'Full Task Breakdown'!$A$4:$M$41</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FFFFFF"/>
      <sz val="16"/>
    </font>
    <font>
      <name val="Calibri"/>
      <i val="1"/>
      <color rgb="00E2E8F0"/>
      <sz val="11"/>
    </font>
    <font>
      <name val="Calibri"/>
      <b val="1"/>
      <color rgb="00FFFFFF"/>
      <sz val="11"/>
    </font>
    <font>
      <name val="Calibri"/>
      <color rgb="000F172A"/>
      <sz val="10"/>
    </font>
    <font>
      <name val="Calibri"/>
      <b val="1"/>
      <color rgb="000F172A"/>
      <sz val="10"/>
    </font>
    <font>
      <name val="Calibri"/>
      <b val="1"/>
      <color rgb="000F172A"/>
      <sz val="11"/>
    </font>
    <font>
      <name val="Calibri"/>
      <b val="1"/>
      <color rgb="00FFFFFF"/>
      <sz val="12"/>
    </font>
    <font>
      <name val="Consolas"/>
      <color rgb="000F172A"/>
      <sz val="9.5"/>
    </font>
    <font>
      <name val="Consolas"/>
      <b val="1"/>
      <color rgb="000F172A"/>
      <sz val="10"/>
    </font>
  </fonts>
  <fills count="8">
    <fill>
      <patternFill/>
    </fill>
    <fill>
      <patternFill patternType="gray125"/>
    </fill>
    <fill>
      <patternFill patternType="solid">
        <fgColor rgb="001E293B"/>
        <bgColor rgb="001E293B"/>
      </patternFill>
    </fill>
    <fill>
      <patternFill patternType="solid">
        <fgColor rgb="00334155"/>
        <bgColor rgb="00334155"/>
      </patternFill>
    </fill>
    <fill>
      <patternFill patternType="solid">
        <fgColor rgb="00FFFFFF"/>
        <bgColor rgb="00FFFFFF"/>
      </patternFill>
    </fill>
    <fill>
      <patternFill patternType="solid">
        <fgColor rgb="00F8FAFC"/>
        <bgColor rgb="00F8FAFC"/>
      </patternFill>
    </fill>
    <fill>
      <patternFill patternType="solid">
        <fgColor rgb="00E2E8F0"/>
        <bgColor rgb="00E2E8F0"/>
      </patternFill>
    </fill>
    <fill>
      <patternFill patternType="solid">
        <fgColor rgb="000F4C81"/>
        <bgColor rgb="000F4C81"/>
      </patternFill>
    </fill>
  </fills>
  <borders count="4">
    <border>
      <left/>
      <right/>
      <top/>
      <bottom/>
      <diagonal/>
    </border>
    <border>
      <left style="thin">
        <color rgb="00CBD5E1"/>
      </left>
      <right style="thin">
        <color rgb="00CBD5E1"/>
      </right>
      <top style="thin">
        <color rgb="00CBD5E1"/>
      </top>
      <bottom style="medium">
        <color rgb="001E293B"/>
      </bottom>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1E293B"/>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7" fillId="7" borderId="0" applyAlignment="1" pivotButton="0" quotePrefix="0" xfId="0">
      <alignment horizontal="left" vertical="center" indent="1"/>
    </xf>
    <xf numFmtId="0" fontId="5" fillId="5" borderId="2" applyAlignment="1" pivotButton="0" quotePrefix="0" xfId="0">
      <alignment horizontal="left" vertical="center" indent="1"/>
    </xf>
    <xf numFmtId="0" fontId="4" fillId="4" borderId="2" applyAlignment="1" pivotButton="0" quotePrefix="0" xfId="0">
      <alignment horizontal="left" vertical="center"/>
    </xf>
    <xf numFmtId="3" fontId="5" fillId="4" borderId="2" applyAlignment="1" pivotButton="0" quotePrefix="0" xfId="0">
      <alignment horizontal="right" vertical="center"/>
    </xf>
    <xf numFmtId="164" fontId="5" fillId="4" borderId="2" applyAlignment="1" pivotButton="0" quotePrefix="0" xfId="0">
      <alignment horizontal="right" vertical="center"/>
    </xf>
    <xf numFmtId="165" fontId="5" fillId="4" borderId="2" applyAlignment="1" pivotButton="0" quotePrefix="0" xfId="0">
      <alignment horizontal="right" vertical="center"/>
    </xf>
    <xf numFmtId="0" fontId="3" fillId="3" borderId="1" applyAlignment="1" pivotButton="0" quotePrefix="0" xfId="0">
      <alignment horizontal="center" vertical="center" wrapText="1"/>
    </xf>
    <xf numFmtId="0" fontId="5" fillId="4" borderId="2" applyAlignment="1" pivotButton="0" quotePrefix="0" xfId="0">
      <alignment horizontal="left" vertical="center"/>
    </xf>
    <xf numFmtId="3" fontId="4" fillId="4" borderId="2" applyAlignment="1" pivotButton="0" quotePrefix="0" xfId="0">
      <alignment horizontal="center" vertical="center"/>
    </xf>
    <xf numFmtId="164" fontId="4" fillId="4" borderId="2" applyAlignment="1" pivotButton="0" quotePrefix="0" xfId="0">
      <alignment horizontal="right" vertical="center"/>
    </xf>
    <xf numFmtId="165" fontId="4" fillId="4" borderId="2" applyAlignment="1" pivotButton="0" quotePrefix="0" xfId="0">
      <alignment horizontal="right" vertical="center"/>
    </xf>
    <xf numFmtId="0" fontId="5" fillId="5" borderId="2" applyAlignment="1" pivotButton="0" quotePrefix="0" xfId="0">
      <alignment horizontal="left" vertical="center"/>
    </xf>
    <xf numFmtId="0" fontId="4" fillId="5" borderId="2" applyAlignment="1" pivotButton="0" quotePrefix="0" xfId="0">
      <alignment horizontal="left" vertical="center"/>
    </xf>
    <xf numFmtId="3" fontId="4" fillId="5" borderId="2" applyAlignment="1" pivotButton="0" quotePrefix="0" xfId="0">
      <alignment horizontal="center" vertical="center"/>
    </xf>
    <xf numFmtId="164" fontId="4" fillId="5" borderId="2" applyAlignment="1" pivotButton="0" quotePrefix="0" xfId="0">
      <alignment horizontal="right" vertical="center"/>
    </xf>
    <xf numFmtId="165" fontId="4" fillId="5" borderId="2" applyAlignment="1" pivotButton="0" quotePrefix="0" xfId="0">
      <alignment horizontal="right" vertical="center"/>
    </xf>
    <xf numFmtId="0" fontId="6" fillId="6" borderId="3" applyAlignment="1" pivotButton="0" quotePrefix="0" xfId="0">
      <alignment horizontal="left" vertical="center"/>
    </xf>
    <xf numFmtId="3" fontId="6" fillId="6" borderId="3" applyAlignment="1" pivotButton="0" quotePrefix="0" xfId="0">
      <alignment horizontal="center" vertical="center"/>
    </xf>
    <xf numFmtId="164" fontId="6" fillId="6" borderId="3" applyAlignment="1" pivotButton="0" quotePrefix="0" xfId="0">
      <alignment horizontal="right" vertical="center"/>
    </xf>
    <xf numFmtId="165" fontId="6" fillId="6" borderId="3" applyAlignment="1" pivotButton="0" quotePrefix="0" xfId="0">
      <alignment horizontal="right" vertical="center"/>
    </xf>
    <xf numFmtId="0" fontId="5" fillId="4" borderId="2" applyAlignment="1" pivotButton="0" quotePrefix="0" xfId="0">
      <alignment horizontal="center" vertical="top" wrapText="1"/>
    </xf>
    <xf numFmtId="0" fontId="4" fillId="4" borderId="2" applyAlignment="1" pivotButton="0" quotePrefix="0" xfId="0">
      <alignment horizontal="left" vertical="top" wrapText="1"/>
    </xf>
    <xf numFmtId="0" fontId="5" fillId="4" borderId="2" applyAlignment="1" pivotButton="0" quotePrefix="0" xfId="0">
      <alignment horizontal="left" vertical="top" wrapText="1"/>
    </xf>
    <xf numFmtId="0" fontId="4" fillId="4" borderId="2" applyAlignment="1" pivotButton="0" quotePrefix="0" xfId="0">
      <alignment horizontal="center" vertical="top" wrapText="1"/>
    </xf>
    <xf numFmtId="164" fontId="4" fillId="4" borderId="2" applyAlignment="1" pivotButton="0" quotePrefix="0" xfId="0">
      <alignment horizontal="right" vertical="top" wrapText="1"/>
    </xf>
    <xf numFmtId="0" fontId="5" fillId="5" borderId="2" applyAlignment="1" pivotButton="0" quotePrefix="0" xfId="0">
      <alignment horizontal="center" vertical="top" wrapText="1"/>
    </xf>
    <xf numFmtId="0" fontId="4" fillId="5" borderId="2" applyAlignment="1" pivotButton="0" quotePrefix="0" xfId="0">
      <alignment horizontal="left" vertical="top" wrapText="1"/>
    </xf>
    <xf numFmtId="0" fontId="5" fillId="5" borderId="2" applyAlignment="1" pivotButton="0" quotePrefix="0" xfId="0">
      <alignment horizontal="left" vertical="top" wrapText="1"/>
    </xf>
    <xf numFmtId="0" fontId="4" fillId="5" borderId="2" applyAlignment="1" pivotButton="0" quotePrefix="0" xfId="0">
      <alignment horizontal="center" vertical="top" wrapText="1"/>
    </xf>
    <xf numFmtId="164" fontId="4" fillId="5" borderId="2" applyAlignment="1" pivotButton="0" quotePrefix="0" xfId="0">
      <alignment horizontal="right" vertical="top" wrapText="1"/>
    </xf>
    <xf numFmtId="0" fontId="6" fillId="6" borderId="3" applyAlignment="1" pivotButton="0" quotePrefix="0" xfId="0">
      <alignment horizontal="center" vertical="top" wrapText="1"/>
    </xf>
    <xf numFmtId="0" fontId="6" fillId="6" borderId="3" applyAlignment="1" pivotButton="0" quotePrefix="0" xfId="0">
      <alignment horizontal="left" vertical="top" wrapText="1"/>
    </xf>
    <xf numFmtId="164" fontId="6" fillId="6" borderId="3" applyAlignment="1" pivotButton="0" quotePrefix="0" xfId="0">
      <alignment horizontal="right" vertical="top" wrapText="1"/>
    </xf>
    <xf numFmtId="0" fontId="9" fillId="4" borderId="2" applyAlignment="1" pivotButton="0" quotePrefix="0" xfId="0">
      <alignment horizontal="left" vertical="top" wrapText="1"/>
    </xf>
    <xf numFmtId="0" fontId="8" fillId="4" borderId="2" applyAlignment="1" pivotButton="0" quotePrefix="0" xfId="0">
      <alignment horizontal="left" vertical="top" wrapText="1"/>
    </xf>
    <xf numFmtId="0" fontId="9" fillId="5" borderId="2" applyAlignment="1" pivotButton="0" quotePrefix="0" xfId="0">
      <alignment horizontal="left" vertical="top" wrapText="1"/>
    </xf>
    <xf numFmtId="0" fontId="8" fillId="5" borderId="2" applyAlignment="1" pivotButton="0" quotePrefix="0" xfId="0">
      <alignment horizontal="left" vertical="top" wrapText="1"/>
    </xf>
  </cellXfs>
  <cellStyles count="1">
    <cellStyle name="Normal" xfId="0" builtinId="0" hidden="0"/>
  </cellStyles>
  <dxfs count="6">
    <dxf>
      <font>
        <name val="Calibri"/>
        <b val="1"/>
        <color rgb="00166534"/>
        <sz val="10"/>
      </font>
      <fill>
        <patternFill patternType="solid">
          <fgColor rgb="00DCFCE7"/>
          <bgColor rgb="00DCFCE7"/>
        </patternFill>
      </fill>
    </dxf>
    <dxf>
      <font>
        <name val="Calibri"/>
        <b val="1"/>
        <color rgb="00854D0E"/>
        <sz val="10"/>
      </font>
      <fill>
        <patternFill patternType="solid">
          <fgColor rgb="00FEF9C3"/>
          <bgColor rgb="00FEF9C3"/>
        </patternFill>
      </fill>
    </dxf>
    <dxf>
      <font>
        <name val="Calibri"/>
        <color rgb="00075985"/>
        <sz val="10"/>
      </font>
      <fill>
        <patternFill patternType="solid">
          <fgColor rgb="00E0F2FE"/>
          <bgColor rgb="00E0F2FE"/>
        </patternFill>
      </fill>
    </dxf>
    <dxf>
      <font>
        <name val="Calibri"/>
        <color rgb="00475569"/>
        <sz val="10"/>
      </font>
      <fill>
        <patternFill patternType="solid">
          <fgColor rgb="00F1F5F9"/>
          <bgColor rgb="00F1F5F9"/>
        </patternFill>
      </fill>
    </dxf>
    <dxf>
      <font>
        <name val="Calibri"/>
        <b val="1"/>
        <color rgb="00991B1B"/>
        <sz val="10"/>
      </font>
      <fill>
        <patternFill patternType="solid">
          <fgColor rgb="00FEE2E2"/>
          <bgColor rgb="00FEE2E2"/>
        </patternFill>
      </fill>
    </dxf>
    <dxf>
      <font>
        <name val="Calibri"/>
        <b val="1"/>
        <color rgb="009A3412"/>
        <sz val="10"/>
      </font>
      <fill>
        <patternFill patternType="solid">
          <fgColor rgb="00FFEDD5"/>
          <bgColor rgb="00FFED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Estimated Engineering Hours by Phase</a:t>
            </a:r>
          </a:p>
        </rich>
      </tx>
    </title>
    <plotArea>
      <barChart>
        <barDir val="col"/>
        <grouping val="clustered"/>
        <ser>
          <idx val="0"/>
          <order val="0"/>
          <tx>
            <strRef>
              <f>'Dashboard &amp; Overview'!E10</f>
            </strRef>
          </tx>
          <spPr>
            <a:ln xmlns:a="http://schemas.openxmlformats.org/drawingml/2006/main">
              <a:prstDash val="solid"/>
            </a:ln>
          </spPr>
          <cat>
            <numRef>
              <f>'Dashboard &amp; Overview'!$A$11:$A$18</f>
            </numRef>
          </cat>
          <val>
            <numRef>
              <f>'Dashboard &amp; Overview'!$E$11:$E$18</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Development Phase</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Hours</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Effort Distribution by Engineering Role (Hours)</a:t>
            </a:r>
          </a:p>
        </rich>
      </tx>
    </title>
    <plotArea>
      <pieChart>
        <varyColors val="1"/>
        <ser>
          <idx val="0"/>
          <order val="0"/>
          <tx>
            <strRef>
              <f>'Dashboard &amp; Overview'!D22</f>
            </strRef>
          </tx>
          <spPr>
            <a:ln xmlns:a="http://schemas.openxmlformats.org/drawingml/2006/main">
              <a:prstDash val="solid"/>
            </a:ln>
          </spPr>
          <cat>
            <numRef>
              <f>'Dashboard &amp; Overview'!$A$23:$A$27</f>
            </numRef>
          </cat>
          <val>
            <numRef>
              <f>'Dashboard &amp; Overview'!$D$23:$D$27</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29</row>
      <rowOff>0</rowOff>
    </from>
    <ext cx="576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29</row>
      <rowOff>0</rowOff>
    </from>
    <ext cx="504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8"/>
  <sheetViews>
    <sheetView showGridLines="1" workbookViewId="0">
      <selection activeCell="A1" sqref="A1"/>
    </sheetView>
  </sheetViews>
  <sheetFormatPr baseColWidth="8" defaultRowHeight="15"/>
  <cols>
    <col width="32" customWidth="1" min="1" max="1"/>
    <col width="46" customWidth="1" min="2" max="2"/>
    <col width="20" customWidth="1" min="3" max="3"/>
    <col width="22" customWidth="1" min="4" max="4"/>
    <col width="20" customWidth="1" min="5" max="5"/>
    <col width="20" customWidth="1" min="6" max="6"/>
    <col width="18" customWidth="1" min="7" max="7"/>
    <col width="18" customWidth="1" min="8" max="8"/>
  </cols>
  <sheetData>
    <row r="1" ht="30" customHeight="1">
      <c r="A1" s="1" t="inlineStr">
        <is>
          <t>PROJECT MANAGEMENT &amp; TIME TRACKING SYSTEM — MASTER DEVELOPMENT DASHBOARD</t>
        </is>
      </c>
    </row>
    <row r="2" ht="20" customHeight="1">
      <c r="A2" s="2" t="inlineStr">
        <is>
          <t>Go (Golang) Backend + PostgreSQL + Modern Frontend | Live Progress Tracker &amp; Effort Breakdown</t>
        </is>
      </c>
    </row>
    <row r="4" ht="24" customHeight="1">
      <c r="A4" s="3" t="inlineStr">
        <is>
          <t>1. EXECUTIVE SUMMARY &amp; RECOMMENDED TECH STACK (ZERO-BUG ARCHITECTURE)</t>
        </is>
      </c>
    </row>
    <row r="5" ht="24" customHeight="1">
      <c r="A5" s="4" t="inlineStr">
        <is>
          <t>Backend Language &amp; Framework</t>
        </is>
      </c>
      <c r="B5" s="5" t="inlineStr">
        <is>
          <t>Go (Golang) 1.22+ with Gin or Echo + Clean/Hexagonal Architecture</t>
        </is>
      </c>
      <c r="C5" s="4" t="inlineStr">
        <is>
          <t>Total Roadmap Milestones</t>
        </is>
      </c>
      <c r="D5" s="6">
        <f>COUNTA('Step-by-Step Roadmap'!A5:A24)</f>
        <v/>
      </c>
      <c r="E5" s="4" t="inlineStr">
        <is>
          <t>Total Granular Tasks</t>
        </is>
      </c>
      <c r="F5" s="6">
        <f>COUNTA('Full Task Breakdown'!A5:A41)</f>
        <v/>
      </c>
      <c r="G5" s="4" t="inlineStr">
        <is>
          <t>QA Verification Gates</t>
        </is>
      </c>
      <c r="H5" s="6">
        <f>COUNTA('Zero-Bug QA Checklist'!A5:A14)</f>
        <v/>
      </c>
    </row>
    <row r="6" ht="24" customHeight="1">
      <c r="A6" s="4" t="inlineStr">
        <is>
          <t>Database &amp; Caching Layer</t>
        </is>
      </c>
      <c r="B6" s="5" t="inlineStr">
        <is>
          <t>PostgreSQL 16 (pgx/v5 + golang-migrate) + Redis 7 (JWT &amp; Rate Limit)</t>
        </is>
      </c>
      <c r="C6" s="4" t="inlineStr">
        <is>
          <t>Roadmap Est. Hours</t>
        </is>
      </c>
      <c r="D6" s="7">
        <f>SUM('Step-by-Step Roadmap'!I5:I24)</f>
        <v/>
      </c>
      <c r="E6" s="4" t="inlineStr">
        <is>
          <t>Task Breakdown Est. Hours</t>
        </is>
      </c>
      <c r="F6" s="7">
        <f>SUM('Full Task Breakdown'!K5:K41)</f>
        <v/>
      </c>
      <c r="G6" s="4" t="inlineStr">
        <is>
          <t>Critical Priority Tasks</t>
        </is>
      </c>
      <c r="H6" s="6">
        <f>COUNTIF('Full Task Breakdown'!J5:J41,"Critical")</f>
        <v/>
      </c>
    </row>
    <row r="7" ht="24" customHeight="1">
      <c r="A7" s="4" t="inlineStr">
        <is>
          <t>Testing &amp; Zero-Bug Tooling</t>
        </is>
      </c>
      <c r="B7" s="5" t="inlineStr">
        <is>
          <t>Go Race Detector (-race), testcontainers-go, golangci-lint, Playwright</t>
        </is>
      </c>
      <c r="C7" s="4" t="inlineStr">
        <is>
          <t>Completed Milestones</t>
        </is>
      </c>
      <c r="D7" s="6">
        <f>COUNTIF('Step-by-Step Roadmap'!L5:L24,"Completed")</f>
        <v/>
      </c>
      <c r="E7" s="4" t="inlineStr">
        <is>
          <t>Completed Tasks</t>
        </is>
      </c>
      <c r="F7" s="6">
        <f>COUNTIF('Full Task Breakdown'!M5:M41,"Completed")</f>
        <v/>
      </c>
      <c r="G7" s="4" t="inlineStr">
        <is>
          <t>Overall Task Completion %</t>
        </is>
      </c>
      <c r="H7" s="8">
        <f>COUNTIF('Full Task Breakdown'!M5:M41,"Completed")/COUNTA('Full Task Breakdown'!A5:A41)</f>
        <v/>
      </c>
    </row>
    <row r="9" ht="24" customHeight="1">
      <c r="A9" s="3" t="inlineStr">
        <is>
          <t>2. PHASE-BY-PHASE DEVELOPMENT SUMMARY (AUTO-CALCULATED FROM SHEETS 2 &amp; 3)</t>
        </is>
      </c>
    </row>
    <row r="10" ht="26" customHeight="1">
      <c r="A10" s="9" t="inlineStr">
        <is>
          <t>Development Phase</t>
        </is>
      </c>
      <c r="B10" s="9" t="inlineStr">
        <is>
          <t>Core Focus Area</t>
        </is>
      </c>
      <c r="C10" s="9" t="inlineStr">
        <is>
          <t>Milestones (Sheet 2)</t>
        </is>
      </c>
      <c r="D10" s="9" t="inlineStr">
        <is>
          <t>Granular Tasks (Sheet 3)</t>
        </is>
      </c>
      <c r="E10" s="9" t="inlineStr">
        <is>
          <t>Task Est. Hours</t>
        </is>
      </c>
      <c r="F10" s="9" t="inlineStr">
        <is>
          <t>Task Actual Hours</t>
        </is>
      </c>
      <c r="G10" s="9" t="inlineStr">
        <is>
          <t>% of Total Effort</t>
        </is>
      </c>
      <c r="H10" s="9" t="inlineStr">
        <is>
          <t>Tasks Completed</t>
        </is>
      </c>
    </row>
    <row r="11" ht="23" customHeight="1">
      <c r="A11" s="10" t="inlineStr">
        <is>
          <t>Phase 1: Foundation &amp; DB Setup</t>
        </is>
      </c>
      <c r="B11" s="5" t="inlineStr">
        <is>
          <t>Go Clean Architecture, PostgreSQL 16 Migrations, Error/Log Middleware</t>
        </is>
      </c>
      <c r="C11" s="11">
        <f>COUNTIF('Step-by-Step Roadmap'!$B$5:$B$24, A11)</f>
        <v/>
      </c>
      <c r="D11" s="11">
        <f>COUNTIF('Full Task Breakdown'!$B$5:$B$41, A11)</f>
        <v/>
      </c>
      <c r="E11" s="12">
        <f>SUMIF('Full Task Breakdown'!$B$5:$B$41, A11, 'Full Task Breakdown'!$K$5:$K$41)</f>
        <v/>
      </c>
      <c r="F11" s="12">
        <f>SUMIF('Full Task Breakdown'!$B$5:$B$41, A11, 'Full Task Breakdown'!$L$5:$L$41)</f>
        <v/>
      </c>
      <c r="G11" s="13">
        <f>E11/$E$19</f>
        <v/>
      </c>
      <c r="H11" s="11">
        <f>COUNTIFS('Full Task Breakdown'!$B$5:$B$41, A11, 'Full Task Breakdown'!$M$5:$M$41, "Completed")</f>
        <v/>
      </c>
    </row>
    <row r="12" ht="23" customHeight="1">
      <c r="A12" s="14" t="inlineStr">
        <is>
          <t>Phase 2: Auth &amp; Role Engine</t>
        </is>
      </c>
      <c r="B12" s="15" t="inlineStr">
        <is>
          <t>JWT Security, User Capacity &amp; Project Role Engine (Dev / QA / BA / PM)</t>
        </is>
      </c>
      <c r="C12" s="16">
        <f>COUNTIF('Step-by-Step Roadmap'!$B$5:$B$24, A12)</f>
        <v/>
      </c>
      <c r="D12" s="16">
        <f>COUNTIF('Full Task Breakdown'!$B$5:$B$41, A12)</f>
        <v/>
      </c>
      <c r="E12" s="17">
        <f>SUMIF('Full Task Breakdown'!$B$5:$B$41, A12, 'Full Task Breakdown'!$K$5:$K$41)</f>
        <v/>
      </c>
      <c r="F12" s="17">
        <f>SUMIF('Full Task Breakdown'!$B$5:$B$41, A12, 'Full Task Breakdown'!$L$5:$L$41)</f>
        <v/>
      </c>
      <c r="G12" s="18">
        <f>E12/$E$19</f>
        <v/>
      </c>
      <c r="H12" s="16">
        <f>COUNTIFS('Full Task Breakdown'!$B$5:$B$41, A12, 'Full Task Breakdown'!$M$5:$M$41, "Completed")</f>
        <v/>
      </c>
    </row>
    <row r="13" ht="23" customHeight="1">
      <c r="A13" s="10" t="inlineStr">
        <is>
          <t>Phase 3: Project &amp; Timeline Core</t>
        </is>
      </c>
      <c r="B13" s="5" t="inlineStr">
        <is>
          <t>Project CRUD, Timeline Boundary Guards, Team Capacity Calculator</t>
        </is>
      </c>
      <c r="C13" s="11">
        <f>COUNTIF('Step-by-Step Roadmap'!$B$5:$B$24, A13)</f>
        <v/>
      </c>
      <c r="D13" s="11">
        <f>COUNTIF('Full Task Breakdown'!$B$5:$B$41, A13)</f>
        <v/>
      </c>
      <c r="E13" s="12">
        <f>SUMIF('Full Task Breakdown'!$B$5:$B$41, A13, 'Full Task Breakdown'!$K$5:$K$41)</f>
        <v/>
      </c>
      <c r="F13" s="12">
        <f>SUMIF('Full Task Breakdown'!$B$5:$B$41, A13, 'Full Task Breakdown'!$L$5:$L$41)</f>
        <v/>
      </c>
      <c r="G13" s="13">
        <f>E13/$E$19</f>
        <v/>
      </c>
      <c r="H13" s="11">
        <f>COUNTIFS('Full Task Breakdown'!$B$5:$B$41, A13, 'Full Task Breakdown'!$M$5:$M$41, "Completed")</f>
        <v/>
      </c>
    </row>
    <row r="14" ht="23" customHeight="1">
      <c r="A14" s="14" t="inlineStr">
        <is>
          <t>Phase 4: Task Management</t>
        </is>
      </c>
      <c r="B14" s="15" t="inlineStr">
        <is>
          <t>Tasks within Project Range, DAG Dependencies, Dev Overload Detector</t>
        </is>
      </c>
      <c r="C14" s="16">
        <f>COUNTIF('Step-by-Step Roadmap'!$B$5:$B$24, A14)</f>
        <v/>
      </c>
      <c r="D14" s="16">
        <f>COUNTIF('Full Task Breakdown'!$B$5:$B$41, A14)</f>
        <v/>
      </c>
      <c r="E14" s="17">
        <f>SUMIF('Full Task Breakdown'!$B$5:$B$41, A14, 'Full Task Breakdown'!$K$5:$K$41)</f>
        <v/>
      </c>
      <c r="F14" s="17">
        <f>SUMIF('Full Task Breakdown'!$B$5:$B$41, A14, 'Full Task Breakdown'!$L$5:$L$41)</f>
        <v/>
      </c>
      <c r="G14" s="18">
        <f>E14/$E$19</f>
        <v/>
      </c>
      <c r="H14" s="16">
        <f>COUNTIFS('Full Task Breakdown'!$B$5:$B$41, A14, 'Full Task Breakdown'!$M$5:$M$41, "Completed")</f>
        <v/>
      </c>
    </row>
    <row r="15" ht="23" customHeight="1">
      <c r="A15" s="10" t="inlineStr">
        <is>
          <t>Phase 5: Deadline Feasibility Engine</t>
        </is>
      </c>
      <c r="B15" s="5" t="inlineStr">
        <is>
          <t>Can-We-Meet-Deadline Math Engine, Role Bottlenecks &amp; What-If Simulator</t>
        </is>
      </c>
      <c r="C15" s="11">
        <f>COUNTIF('Step-by-Step Roadmap'!$B$5:$B$24, A15)</f>
        <v/>
      </c>
      <c r="D15" s="11">
        <f>COUNTIF('Full Task Breakdown'!$B$5:$B$41, A15)</f>
        <v/>
      </c>
      <c r="E15" s="12">
        <f>SUMIF('Full Task Breakdown'!$B$5:$B$41, A15, 'Full Task Breakdown'!$K$5:$K$41)</f>
        <v/>
      </c>
      <c r="F15" s="12">
        <f>SUMIF('Full Task Breakdown'!$B$5:$B$41, A15, 'Full Task Breakdown'!$L$5:$L$41)</f>
        <v/>
      </c>
      <c r="G15" s="13">
        <f>E15/$E$19</f>
        <v/>
      </c>
      <c r="H15" s="11">
        <f>COUNTIFS('Full Task Breakdown'!$B$5:$B$41, A15, 'Full Task Breakdown'!$M$5:$M$41, "Completed")</f>
        <v/>
      </c>
    </row>
    <row r="16" ht="23" customHeight="1">
      <c r="A16" s="14" t="inlineStr">
        <is>
          <t>Phase 6: Time Tracking Engine</t>
        </is>
      </c>
      <c r="B16" s="15" t="inlineStr">
        <is>
          <t>Concurrency-Safe Live Timer, Manual Logs, Overlap Guard &amp; Burn-Down</t>
        </is>
      </c>
      <c r="C16" s="16">
        <f>COUNTIF('Step-by-Step Roadmap'!$B$5:$B$24, A16)</f>
        <v/>
      </c>
      <c r="D16" s="16">
        <f>COUNTIF('Full Task Breakdown'!$B$5:$B$41, A16)</f>
        <v/>
      </c>
      <c r="E16" s="17">
        <f>SUMIF('Full Task Breakdown'!$B$5:$B$41, A16, 'Full Task Breakdown'!$K$5:$K$41)</f>
        <v/>
      </c>
      <c r="F16" s="17">
        <f>SUMIF('Full Task Breakdown'!$B$5:$B$41, A16, 'Full Task Breakdown'!$L$5:$L$41)</f>
        <v/>
      </c>
      <c r="G16" s="18">
        <f>E16/$E$19</f>
        <v/>
      </c>
      <c r="H16" s="16">
        <f>COUNTIFS('Full Task Breakdown'!$B$5:$B$41, A16, 'Full Task Breakdown'!$M$5:$M$41, "Completed")</f>
        <v/>
      </c>
    </row>
    <row r="17" ht="23" customHeight="1">
      <c r="A17" s="10" t="inlineStr">
        <is>
          <t>Phase 7: Frontend Application</t>
        </is>
      </c>
      <c r="B17" s="5" t="inlineStr">
        <is>
          <t>React/Next.js Gantt Timeline, Kanban, Feasibility Gauge &amp; Global Timer</t>
        </is>
      </c>
      <c r="C17" s="11">
        <f>COUNTIF('Step-by-Step Roadmap'!$B$5:$B$24, A17)</f>
        <v/>
      </c>
      <c r="D17" s="11">
        <f>COUNTIF('Full Task Breakdown'!$B$5:$B$41, A17)</f>
        <v/>
      </c>
      <c r="E17" s="12">
        <f>SUMIF('Full Task Breakdown'!$B$5:$B$41, A17, 'Full Task Breakdown'!$K$5:$K$41)</f>
        <v/>
      </c>
      <c r="F17" s="12">
        <f>SUMIF('Full Task Breakdown'!$B$5:$B$41, A17, 'Full Task Breakdown'!$L$5:$L$41)</f>
        <v/>
      </c>
      <c r="G17" s="13">
        <f>E17/$E$19</f>
        <v/>
      </c>
      <c r="H17" s="11">
        <f>COUNTIFS('Full Task Breakdown'!$B$5:$B$41, A17, 'Full Task Breakdown'!$M$5:$M$41, "Completed")</f>
        <v/>
      </c>
    </row>
    <row r="18" ht="23" customHeight="1">
      <c r="A18" s="14" t="inlineStr">
        <is>
          <t>Phase 8: QA, Hardening &amp; Launch</t>
        </is>
      </c>
      <c r="B18" s="15" t="inlineStr">
        <is>
          <t>testcontainers-go Integration Suite, Race Checks, Playwright &amp; Docker</t>
        </is>
      </c>
      <c r="C18" s="16">
        <f>COUNTIF('Step-by-Step Roadmap'!$B$5:$B$24, A18)</f>
        <v/>
      </c>
      <c r="D18" s="16">
        <f>COUNTIF('Full Task Breakdown'!$B$5:$B$41, A18)</f>
        <v/>
      </c>
      <c r="E18" s="17">
        <f>SUMIF('Full Task Breakdown'!$B$5:$B$41, A18, 'Full Task Breakdown'!$K$5:$K$41)</f>
        <v/>
      </c>
      <c r="F18" s="17">
        <f>SUMIF('Full Task Breakdown'!$B$5:$B$41, A18, 'Full Task Breakdown'!$L$5:$L$41)</f>
        <v/>
      </c>
      <c r="G18" s="18">
        <f>E18/$E$19</f>
        <v/>
      </c>
      <c r="H18" s="16">
        <f>COUNTIFS('Full Task Breakdown'!$B$5:$B$41, A18, 'Full Task Breakdown'!$M$5:$M$41, "Completed")</f>
        <v/>
      </c>
    </row>
    <row r="19" ht="25" customHeight="1">
      <c r="A19" s="19" t="inlineStr">
        <is>
          <t>TOTAL SYSTEM EFFORT</t>
        </is>
      </c>
      <c r="B19" s="19" t="inlineStr">
        <is>
          <t>Complete Zero-Bug Project &amp; Time Tracking Platform</t>
        </is>
      </c>
      <c r="C19" s="20">
        <f>SUM(C11:C18)</f>
        <v/>
      </c>
      <c r="D19" s="20">
        <f>SUM(D11:D18)</f>
        <v/>
      </c>
      <c r="E19" s="21">
        <f>SUM(E11:E18)</f>
        <v/>
      </c>
      <c r="F19" s="21">
        <f>SUM(F11:F18)</f>
        <v/>
      </c>
      <c r="G19" s="22">
        <f>SUM(G11:G18)</f>
        <v/>
      </c>
      <c r="H19" s="20">
        <f>SUM(H11:H18)</f>
        <v/>
      </c>
    </row>
    <row r="21" ht="24" customHeight="1">
      <c r="A21" s="3" t="inlineStr">
        <is>
          <t>3. WORKLOAD BREAKDOWN BY ROLE (BACKEND GO / FRONTEND / QA / BA / DEVOPS)</t>
        </is>
      </c>
    </row>
    <row r="22" ht="25" customHeight="1">
      <c r="A22" s="9" t="inlineStr">
        <is>
          <t>Engineering Role</t>
        </is>
      </c>
      <c r="B22" s="9" t="inlineStr">
        <is>
          <t>Primary Responsibility in Project</t>
        </is>
      </c>
      <c r="C22" s="9" t="inlineStr">
        <is>
          <t>Task Count</t>
        </is>
      </c>
      <c r="D22" s="9" t="inlineStr">
        <is>
          <t>Estimated Hours</t>
        </is>
      </c>
      <c r="E22" s="9" t="inlineStr">
        <is>
          <t>Actual Hours</t>
        </is>
      </c>
      <c r="F22" s="9" t="inlineStr">
        <is>
          <t>Share of Hours</t>
        </is>
      </c>
      <c r="G22" s="9" t="inlineStr">
        <is>
          <t>Completed Tasks</t>
        </is>
      </c>
      <c r="H22" s="9" t="inlineStr">
        <is>
          <t>Remaining Tasks</t>
        </is>
      </c>
    </row>
    <row r="23" ht="22" customHeight="1">
      <c r="A23" s="10" t="inlineStr">
        <is>
          <t>Backend Dev (Go)</t>
        </is>
      </c>
      <c r="B23" s="5" t="inlineStr">
        <is>
          <t>Go REST APIs, PostgreSQL Queries, Feasibility &amp; Timer Concurrency Engines</t>
        </is>
      </c>
      <c r="C23" s="11">
        <f>COUNTIF('Full Task Breakdown'!$I$5:$I$41, A23)</f>
        <v/>
      </c>
      <c r="D23" s="12">
        <f>SUMIF('Full Task Breakdown'!$I$5:$I$41, A23, 'Full Task Breakdown'!$K$5:$K$41)</f>
        <v/>
      </c>
      <c r="E23" s="12">
        <f>SUMIF('Full Task Breakdown'!$I$5:$I$41, A23, 'Full Task Breakdown'!$L$5:$L$41)</f>
        <v/>
      </c>
      <c r="F23" s="13">
        <f>D23/$D$28</f>
        <v/>
      </c>
      <c r="G23" s="11">
        <f>COUNTIFS('Full Task Breakdown'!$I$5:$I$41, A23, 'Full Task Breakdown'!$M$5:$M$41, "Completed")</f>
        <v/>
      </c>
      <c r="H23" s="11">
        <f>C23-G23</f>
        <v/>
      </c>
    </row>
    <row r="24" ht="22" customHeight="1">
      <c r="A24" s="14" t="inlineStr">
        <is>
          <t>Frontend Dev</t>
        </is>
      </c>
      <c r="B24" s="15" t="inlineStr">
        <is>
          <t>React/Next.js Timeline Gantt, Kanban Board, Feasibility Dashboard &amp; Timer UI</t>
        </is>
      </c>
      <c r="C24" s="16">
        <f>COUNTIF('Full Task Breakdown'!$I$5:$I$41, A24)</f>
        <v/>
      </c>
      <c r="D24" s="17">
        <f>SUMIF('Full Task Breakdown'!$I$5:$I$41, A24, 'Full Task Breakdown'!$K$5:$K$41)</f>
        <v/>
      </c>
      <c r="E24" s="17">
        <f>SUMIF('Full Task Breakdown'!$I$5:$I$41, A24, 'Full Task Breakdown'!$L$5:$L$41)</f>
        <v/>
      </c>
      <c r="F24" s="18">
        <f>D24/$D$28</f>
        <v/>
      </c>
      <c r="G24" s="16">
        <f>COUNTIFS('Full Task Breakdown'!$I$5:$I$41, A24, 'Full Task Breakdown'!$M$5:$M$41, "Completed")</f>
        <v/>
      </c>
      <c r="H24" s="16">
        <f>C24-G24</f>
        <v/>
      </c>
    </row>
    <row r="25" ht="22" customHeight="1">
      <c r="A25" s="10" t="inlineStr">
        <is>
          <t>QA Engineer</t>
        </is>
      </c>
      <c r="B25" s="5" t="inlineStr">
        <is>
          <t>testcontainers-go Integration Suite, Race Condition Checks &amp; Playwright E2E</t>
        </is>
      </c>
      <c r="C25" s="11">
        <f>COUNTIF('Full Task Breakdown'!$I$5:$I$41, A25)</f>
        <v/>
      </c>
      <c r="D25" s="12">
        <f>SUMIF('Full Task Breakdown'!$I$5:$I$41, A25, 'Full Task Breakdown'!$K$5:$K$41)</f>
        <v/>
      </c>
      <c r="E25" s="12">
        <f>SUMIF('Full Task Breakdown'!$I$5:$I$41, A25, 'Full Task Breakdown'!$L$5:$L$41)</f>
        <v/>
      </c>
      <c r="F25" s="13">
        <f>D25/$D$28</f>
        <v/>
      </c>
      <c r="G25" s="11">
        <f>COUNTIFS('Full Task Breakdown'!$I$5:$I$41, A25, 'Full Task Breakdown'!$M$5:$M$41, "Completed")</f>
        <v/>
      </c>
      <c r="H25" s="11">
        <f>C25-G25</f>
        <v/>
      </c>
    </row>
    <row r="26" ht="22" customHeight="1">
      <c r="A26" s="14" t="inlineStr">
        <is>
          <t>DevOps</t>
        </is>
      </c>
      <c r="B26" s="15" t="inlineStr">
        <is>
          <t>Docker Compose, PostgreSQL/Redis Containers &amp; GitHub Actions CI/CD</t>
        </is>
      </c>
      <c r="C26" s="16">
        <f>COUNTIF('Full Task Breakdown'!$I$5:$I$41, A26)</f>
        <v/>
      </c>
      <c r="D26" s="17">
        <f>SUMIF('Full Task Breakdown'!$I$5:$I$41, A26, 'Full Task Breakdown'!$K$5:$K$41)</f>
        <v/>
      </c>
      <c r="E26" s="17">
        <f>SUMIF('Full Task Breakdown'!$I$5:$I$41, A26, 'Full Task Breakdown'!$L$5:$L$41)</f>
        <v/>
      </c>
      <c r="F26" s="18">
        <f>D26/$D$28</f>
        <v/>
      </c>
      <c r="G26" s="16">
        <f>COUNTIFS('Full Task Breakdown'!$I$5:$I$41, A26, 'Full Task Breakdown'!$M$5:$M$41, "Completed")</f>
        <v/>
      </c>
      <c r="H26" s="16">
        <f>C26-G26</f>
        <v/>
      </c>
    </row>
    <row r="27" ht="22" customHeight="1">
      <c r="A27" s="10" t="inlineStr">
        <is>
          <t>Business Analyst</t>
        </is>
      </c>
      <c r="B27" s="5" t="inlineStr">
        <is>
          <t>OpenAPI 3.0 Spec, Domain Validation Rules &amp; Role Capacity Requirements</t>
        </is>
      </c>
      <c r="C27" s="11">
        <f>COUNTIF('Full Task Breakdown'!$I$5:$I$41, A27)</f>
        <v/>
      </c>
      <c r="D27" s="12">
        <f>SUMIF('Full Task Breakdown'!$I$5:$I$41, A27, 'Full Task Breakdown'!$K$5:$K$41)</f>
        <v/>
      </c>
      <c r="E27" s="12">
        <f>SUMIF('Full Task Breakdown'!$I$5:$I$41, A27, 'Full Task Breakdown'!$L$5:$L$41)</f>
        <v/>
      </c>
      <c r="F27" s="13">
        <f>D27/$D$28</f>
        <v/>
      </c>
      <c r="G27" s="11">
        <f>COUNTIFS('Full Task Breakdown'!$I$5:$I$41, A27, 'Full Task Breakdown'!$M$5:$M$41, "Completed")</f>
        <v/>
      </c>
      <c r="H27" s="11">
        <f>C27-G27</f>
        <v/>
      </c>
    </row>
    <row r="28" ht="25" customHeight="1">
      <c r="A28" s="19" t="inlineStr">
        <is>
          <t>TOTAL BY ROLE</t>
        </is>
      </c>
      <c r="B28" s="19" t="inlineStr">
        <is>
          <t>All Engineering Disciplines Combined</t>
        </is>
      </c>
      <c r="C28" s="20">
        <f>SUM(C23:C27)</f>
        <v/>
      </c>
      <c r="D28" s="21">
        <f>SUM(D23:D27)</f>
        <v/>
      </c>
      <c r="E28" s="21">
        <f>SUM(E23:E27)</f>
        <v/>
      </c>
      <c r="F28" s="22">
        <f>SUM(F23:F27)</f>
        <v/>
      </c>
      <c r="G28" s="20">
        <f>SUM(G23:G27)</f>
        <v/>
      </c>
      <c r="H28" s="20">
        <f>SUM(H23:H27)</f>
        <v/>
      </c>
    </row>
  </sheetData>
  <mergeCells count="5">
    <mergeCell ref="A9:H9"/>
    <mergeCell ref="A4:H4"/>
    <mergeCell ref="A21:H21"/>
    <mergeCell ref="A2:H2"/>
    <mergeCell ref="A1:H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25"/>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30" customWidth="1" min="3" max="3"/>
    <col width="52" customWidth="1" min="4" max="4"/>
    <col width="28" customWidth="1" min="5" max="5"/>
    <col width="30" customWidth="1" min="6" max="6"/>
    <col width="48" customWidth="1" min="7" max="7"/>
    <col width="15" customWidth="1" min="8" max="8"/>
    <col width="12" customWidth="1" min="9" max="9"/>
    <col width="12" customWidth="1" min="10" max="10"/>
    <col width="14" customWidth="1" min="11" max="11"/>
    <col width="16" customWidth="1" min="12" max="12"/>
  </cols>
  <sheetData>
    <row r="1" ht="30" customHeight="1">
      <c r="A1" s="1" t="inlineStr">
        <is>
          <t>STEP-BY-STEP SYSTEM DEVELOPMENT ROADMAP (GO BACKEND + FULL STACK)</t>
        </is>
      </c>
    </row>
    <row r="2" ht="20" customHeight="1">
      <c r="A2" s="2" t="inlineStr">
        <is>
          <t>Sequential 8-Phase Execution Plan with Mandatory Zero-Bug Quality Gates at Every Step</t>
        </is>
      </c>
    </row>
    <row r="4" ht="28" customHeight="1">
      <c r="A4" s="9" t="inlineStr">
        <is>
          <t>Step ID</t>
        </is>
      </c>
      <c r="B4" s="9" t="inlineStr">
        <is>
          <t>Phase</t>
        </is>
      </c>
      <c r="C4" s="9" t="inlineStr">
        <is>
          <t>Step / Milestone Name</t>
        </is>
      </c>
      <c r="D4" s="9" t="inlineStr">
        <is>
          <t>What to Build (Step-by-Step Actions)</t>
        </is>
      </c>
      <c r="E4" s="9" t="inlineStr">
        <is>
          <t>Go Packages &amp; Tech Stack</t>
        </is>
      </c>
      <c r="F4" s="9" t="inlineStr">
        <is>
          <t>Key Deliverable</t>
        </is>
      </c>
      <c r="G4" s="9" t="inlineStr">
        <is>
          <t>Zero-Bug Verification Gate (Must Pass Before Moving On)</t>
        </is>
      </c>
      <c r="H4" s="9" t="inlineStr">
        <is>
          <t>Dependencies</t>
        </is>
      </c>
      <c r="I4" s="9" t="inlineStr">
        <is>
          <t>Est. Hours</t>
        </is>
      </c>
      <c r="J4" s="9" t="inlineStr">
        <is>
          <t>Actual Hours</t>
        </is>
      </c>
      <c r="K4" s="9" t="inlineStr">
        <is>
          <t>Variance (Hrs)</t>
        </is>
      </c>
      <c r="L4" s="9" t="inlineStr">
        <is>
          <t>Status</t>
        </is>
      </c>
    </row>
    <row r="5" ht="62" customHeight="1">
      <c r="A5" s="23" t="inlineStr">
        <is>
          <t>STEP-1.1</t>
        </is>
      </c>
      <c r="B5" s="24" t="inlineStr">
        <is>
          <t>Phase 1: Foundation &amp; DB Setup</t>
        </is>
      </c>
      <c r="C5" s="25" t="inlineStr">
        <is>
          <t>System Requirements &amp; Domain Modeling</t>
        </is>
      </c>
      <c r="D5" s="24" t="inlineStr">
        <is>
          <t>1. Define core entities: Organization, User, Project, ProjectMember (Dev/QA/BA/PM), Task, TaskDependency, TimeLog, HolidayCalendar.
2. Finalize state transitions for Projects (Draft -&gt; Active -&gt; OnHold -&gt; Completed) and Tasks (Backlog -&gt; Todo -&gt; InProgress -&gt; InQA -&gt; Done).
3. Document API contract (OpenAPI 3.0 / Swagger YAML) before writing application code.</t>
        </is>
      </c>
      <c r="E5" s="24" t="inlineStr">
        <is>
          <t>OpenAPI 3.0, Swagger UI, Draw.io / dbdiagram.io</t>
        </is>
      </c>
      <c r="F5" s="24" t="inlineStr">
        <is>
          <t>Approved ERD Diagram &amp; OpenAPI 3.0 Specification file</t>
        </is>
      </c>
      <c r="G5" s="24" t="inlineStr">
        <is>
          <t>Verify every user requirement (Project timeline, Dev/QA/BA roles, Task within project range, Deadline feasibility, Time tracking) maps to specific DB columns and API endpoints.</t>
        </is>
      </c>
      <c r="H5" s="26" t="inlineStr">
        <is>
          <t>None</t>
        </is>
      </c>
      <c r="I5" s="27" t="n">
        <v>8</v>
      </c>
      <c r="J5" s="27" t="n">
        <v>0</v>
      </c>
      <c r="K5" s="27">
        <f>I5-J5</f>
        <v/>
      </c>
      <c r="L5" s="26" t="inlineStr">
        <is>
          <t>Not Started</t>
        </is>
      </c>
    </row>
    <row r="6" ht="62" customHeight="1">
      <c r="A6" s="28" t="inlineStr">
        <is>
          <t>STEP-1.2</t>
        </is>
      </c>
      <c r="B6" s="29" t="inlineStr">
        <is>
          <t>Phase 1: Foundation &amp; DB Setup</t>
        </is>
      </c>
      <c r="C6" s="30" t="inlineStr">
        <is>
          <t>Go Repository &amp; Clean Architecture Scaffolding</t>
        </is>
      </c>
      <c r="D6" s="29" t="inlineStr">
        <is>
          <t>1. Initialize Go module (`go mod init`).
2. Set up Clean/Hexagonal folder structure: `/cmd/api`, `/internal/domain`, `/internal/repository`, `/internal/service`, `/internal/handler`, `/pkg/validator`, `/migrations`.
3. Configure strict linter (`.golangci.yml`) with `govet`, `errcheck`, `staticcheck`, `gosimple`, and `revive`.</t>
        </is>
      </c>
      <c r="E6" s="29" t="inlineStr">
        <is>
          <t>Go 1.22+, golangci-lint, Make, Docker Compose</t>
        </is>
      </c>
      <c r="F6" s="29" t="inlineStr">
        <is>
          <t>Compiling Go skeleton with Makefile &amp; linter pipeline</t>
        </is>
      </c>
      <c r="G6" s="29" t="inlineStr">
        <is>
          <t>`golangci-lint run` exits with 0 warnings; all environment variables validated at startup via strict config struct (panic on missing critical env vars).</t>
        </is>
      </c>
      <c r="H6" s="31" t="inlineStr">
        <is>
          <t>STEP-1.1</t>
        </is>
      </c>
      <c r="I6" s="32" t="n">
        <v>6</v>
      </c>
      <c r="J6" s="32" t="n">
        <v>0</v>
      </c>
      <c r="K6" s="32">
        <f>I6-J6</f>
        <v/>
      </c>
      <c r="L6" s="31" t="inlineStr">
        <is>
          <t>Not Started</t>
        </is>
      </c>
    </row>
    <row r="7" ht="62" customHeight="1">
      <c r="A7" s="23" t="inlineStr">
        <is>
          <t>STEP-1.3</t>
        </is>
      </c>
      <c r="B7" s="24" t="inlineStr">
        <is>
          <t>Phase 1: Foundation &amp; DB Setup</t>
        </is>
      </c>
      <c r="C7" s="25" t="inlineStr">
        <is>
          <t>PostgreSQL Schema &amp; Versioned Migrations</t>
        </is>
      </c>
      <c r="D7" s="24" t="inlineStr">
        <is>
          <t>1. Spin up PostgreSQL 16 + Redis 7 in `docker-compose.yml`.
2. Create up/down SQL migrations for all tables using `golang-migrate`.
3. Add database-level CHECK constraints (e.g., `end_date &gt;= start_date`, `estimated_hours &gt;= 0`) and foreign keys with `ON DELETE RESTRICT` or `CASCADE`.
4. Enforce `TIMESTAMPTZ` (UTC) for all date/time columns.</t>
        </is>
      </c>
      <c r="E7" s="24" t="inlineStr">
        <is>
          <t>PostgreSQL 16, golang-migrate, pgx/v5, sqlc or GORM</t>
        </is>
      </c>
      <c r="F7" s="24" t="inlineStr">
        <is>
          <t>Versioned SQL migration files &amp; automated DB health check</t>
        </is>
      </c>
      <c r="G7" s="24" t="inlineStr">
        <is>
          <t>Run up -&gt; down -&gt; up migration cycle cleanly; test DB CHECK constraints by attempting to insert invalid date ranges (`end_date &lt; start_date`) and verifying PostgreSQL rejects them.</t>
        </is>
      </c>
      <c r="H7" s="26" t="inlineStr">
        <is>
          <t>STEP-1.2</t>
        </is>
      </c>
      <c r="I7" s="27" t="n">
        <v>10</v>
      </c>
      <c r="J7" s="27" t="n">
        <v>0</v>
      </c>
      <c r="K7" s="27">
        <f>I7-J7</f>
        <v/>
      </c>
      <c r="L7" s="26" t="inlineStr">
        <is>
          <t>Not Started</t>
        </is>
      </c>
    </row>
    <row r="8" ht="62" customHeight="1">
      <c r="A8" s="28" t="inlineStr">
        <is>
          <t>STEP-1.4</t>
        </is>
      </c>
      <c r="B8" s="29" t="inlineStr">
        <is>
          <t>Phase 1: Foundation &amp; DB Setup</t>
        </is>
      </c>
      <c r="C8" s="30" t="inlineStr">
        <is>
          <t>Centralized Error Handling, Logging &amp; Middleware</t>
        </is>
      </c>
      <c r="D8" s="29" t="inlineStr">
        <is>
          <t>1. Build structured JSON logger using Go standard `log/slog` with request correlation IDs (`X-Request-ID`).
2. Create unified error envelope (`AppError` struct mapping domain errors to HTTP 400/401/403/404/409/422/500).
3. Add panic recovery middleware so no unhandled nil pointer can crash the Go server.</t>
        </is>
      </c>
      <c r="E8" s="29" t="inlineStr">
        <is>
          <t>log/slog, gin-gonic/gin (or labstack/echo), google/uuid</t>
        </is>
      </c>
      <c r="F8" s="29" t="inlineStr">
        <is>
          <t>Middleware suite &amp; standardized JSON API response wrapper</t>
        </is>
      </c>
      <c r="G8" s="29" t="inlineStr">
        <is>
          <t>Write unit test triggering a deliberate panic in a dummy handler and assert HTTP 500 JSON response is returned cleanly without crashing the process.</t>
        </is>
      </c>
      <c r="H8" s="31" t="inlineStr">
        <is>
          <t>STEP-1.3</t>
        </is>
      </c>
      <c r="I8" s="32" t="n">
        <v>6</v>
      </c>
      <c r="J8" s="32" t="n">
        <v>0</v>
      </c>
      <c r="K8" s="32">
        <f>I8-J8</f>
        <v/>
      </c>
      <c r="L8" s="31" t="inlineStr">
        <is>
          <t>Not Started</t>
        </is>
      </c>
    </row>
    <row r="9" ht="62" customHeight="1">
      <c r="A9" s="23" t="inlineStr">
        <is>
          <t>STEP-2.1</t>
        </is>
      </c>
      <c r="B9" s="24" t="inlineStr">
        <is>
          <t>Phase 2: Auth &amp; Role Engine</t>
        </is>
      </c>
      <c r="C9" s="25" t="inlineStr">
        <is>
          <t>User Authentication &amp; JWT Security Service</t>
        </is>
      </c>
      <c r="D9" s="24" t="inlineStr">
        <is>
          <t>1. Implement Argon2id or bcrypt password hashing.
2. Build JWT access token (short-lived, 15m) + refresh token rotation (stored in Redis/DB with revocation support).
3. Create `/api/v1/auth/login`, `/refresh`, `/logout`, and `/me` endpoints.</t>
        </is>
      </c>
      <c r="E9" s="24" t="inlineStr">
        <is>
          <t>golang-jwt/jwt/v5, golang.org/x/crypto/bcrypt, Redis</t>
        </is>
      </c>
      <c r="F9" s="24" t="inlineStr">
        <is>
          <t>Secure Auth API with token rotation &amp; revocation</t>
        </is>
      </c>
      <c r="G9" s="24" t="inlineStr">
        <is>
          <t>100% unit test coverage on token expiration, tampered signature rejection, and revoked refresh token reuse detection.</t>
        </is>
      </c>
      <c r="H9" s="26" t="inlineStr">
        <is>
          <t>STEP-1.4</t>
        </is>
      </c>
      <c r="I9" s="27" t="n">
        <v>10</v>
      </c>
      <c r="J9" s="27" t="n">
        <v>0</v>
      </c>
      <c r="K9" s="27">
        <f>I9-J9</f>
        <v/>
      </c>
      <c r="L9" s="26" t="inlineStr">
        <is>
          <t>Not Started</t>
        </is>
      </c>
    </row>
    <row r="10" ht="62" customHeight="1">
      <c r="A10" s="28" t="inlineStr">
        <is>
          <t>STEP-2.2</t>
        </is>
      </c>
      <c r="B10" s="29" t="inlineStr">
        <is>
          <t>Phase 2: Auth &amp; Role Engine</t>
        </is>
      </c>
      <c r="C10" s="30" t="inlineStr">
        <is>
          <t>System &amp; Project-Level Role Engine (Dev, QA, BA, PM, Admin)</t>
        </is>
      </c>
      <c r="D10" s="29" t="inlineStr">
        <is>
          <t>1. Create `roles` &amp; `project_members` logic supporting distinct functional roles: `DEVELOPER`, `QA_ENGINEER`, `BUSINESS_ANALYST`, `PROJECT_MANAGER`, `ADMIN`.
2. Support per-user daily working capacity (e.g., default 8.0 hrs/day or custom part-time 4.0 hrs/day) and cost/billing rate.
3. Implement RBAC middleware restricting endpoints by system role and project membership.</t>
        </is>
      </c>
      <c r="E10" s="29" t="inlineStr">
        <is>
          <t>Custom Go RBAC Middleware, Casbin (optional), pgx/v5</t>
        </is>
      </c>
      <c r="F10" s="29" t="inlineStr">
        <is>
          <t>Role management endpoints &amp; RBAC authorization middleware</t>
        </is>
      </c>
      <c r="G10" s="29" t="inlineStr">
        <is>
          <t>Automated table-driven tests verifying a Developer cannot delete a Project, and a non-member cannot view or log time on a restricted Project.</t>
        </is>
      </c>
      <c r="H10" s="31" t="inlineStr">
        <is>
          <t>STEP-2.1</t>
        </is>
      </c>
      <c r="I10" s="32" t="n">
        <v>10</v>
      </c>
      <c r="J10" s="32" t="n">
        <v>0</v>
      </c>
      <c r="K10" s="32">
        <f>I10-J10</f>
        <v/>
      </c>
      <c r="L10" s="31" t="inlineStr">
        <is>
          <t>Not Started</t>
        </is>
      </c>
    </row>
    <row r="11" ht="62" customHeight="1">
      <c r="A11" s="23" t="inlineStr">
        <is>
          <t>STEP-3.1</t>
        </is>
      </c>
      <c r="B11" s="24" t="inlineStr">
        <is>
          <t>Phase 3: Project &amp; Timeline Core</t>
        </is>
      </c>
      <c r="C11" s="25" t="inlineStr">
        <is>
          <t>Project CRUD &amp; Timeline Validation Service</t>
        </is>
      </c>
      <c r="D11" s="24" t="inlineStr">
        <is>
          <t>1. Build Project service (`Create`, `Get`, `List`, `Update`, `Archive`) with `start_date`, `target_end_date`, `budget_hours`, and `status`.
2. Enforce timeline invariant: if a project already has tasks, shrinking the project timeline (`start_date` or `target_end_date`) must validate that no existing task falls outside the new range.
3. Support project milestones/phases within the project timeline.</t>
        </is>
      </c>
      <c r="E11" s="24" t="inlineStr">
        <is>
          <t>Go Validator (go-playground/validator/v10), pgx transactions</t>
        </is>
      </c>
      <c r="F11" s="24" t="inlineStr">
        <is>
          <t>Project CRUD API + Timeline Boundary Guard</t>
        </is>
      </c>
      <c r="G11" s="24" t="inlineStr">
        <is>
          <t>Test shrinking a project's end_date to earlier than an existing task's due_date; verify API returns HTTP 409 Conflict with exact offending task IDs.</t>
        </is>
      </c>
      <c r="H11" s="26" t="inlineStr">
        <is>
          <t>STEP-2.2</t>
        </is>
      </c>
      <c r="I11" s="27" t="n">
        <v>12</v>
      </c>
      <c r="J11" s="27" t="n">
        <v>0</v>
      </c>
      <c r="K11" s="27">
        <f>I11-J11</f>
        <v/>
      </c>
      <c r="L11" s="26" t="inlineStr">
        <is>
          <t>Not Started</t>
        </is>
      </c>
    </row>
    <row r="12" ht="62" customHeight="1">
      <c r="A12" s="28" t="inlineStr">
        <is>
          <t>STEP-3.2</t>
        </is>
      </c>
      <c r="B12" s="29" t="inlineStr">
        <is>
          <t>Phase 3: Project &amp; Timeline Core</t>
        </is>
      </c>
      <c r="C12" s="30" t="inlineStr">
        <is>
          <t>Project Team Allocation (Assigning Devs, QA, BA to Projects)</t>
        </is>
      </c>
      <c r="D12" s="29" t="inlineStr">
        <is>
          <t>1. Create endpoints to assign/remove users to a Project with specific project role (`DEVELOPER`, `QA`, `BA`), allocation percentage (e.g., 100% or 50%), and effective date range (`joined_at`, `left_at`).
2. Compute total available role capacity per project (e.g., Total Dev Hours, Total QA Hours, Total BA Hours available within project dates excluding weekends/holidays).
3. Prevent duplicate user assignment to the same project role.</t>
        </is>
      </c>
      <c r="E12" s="29" t="inlineStr">
        <is>
          <t>Go time package, SQL UNIQUE constraints, pgx/v5</t>
        </is>
      </c>
      <c r="F12" s="29" t="inlineStr">
        <is>
          <t>Team Rostering &amp; Capacity Calculation API</t>
        </is>
      </c>
      <c r="G12" s="29" t="inlineStr">
        <is>
          <t>Verify business-day calculation accurately excludes weekends and configured company holidays across leap years and month boundaries.</t>
        </is>
      </c>
      <c r="H12" s="31" t="inlineStr">
        <is>
          <t>STEP-3.1</t>
        </is>
      </c>
      <c r="I12" s="32" t="n">
        <v>12</v>
      </c>
      <c r="J12" s="32" t="n">
        <v>0</v>
      </c>
      <c r="K12" s="32">
        <f>I12-J12</f>
        <v/>
      </c>
      <c r="L12" s="31" t="inlineStr">
        <is>
          <t>Not Started</t>
        </is>
      </c>
    </row>
    <row r="13" ht="62" customHeight="1">
      <c r="A13" s="23" t="inlineStr">
        <is>
          <t>STEP-4.1</t>
        </is>
      </c>
      <c r="B13" s="24" t="inlineStr">
        <is>
          <t>Phase 4: Task Management</t>
        </is>
      </c>
      <c r="C13" s="25" t="inlineStr">
        <is>
          <t>Task Creation with Strict Project Time-Range Enforcement</t>
        </is>
      </c>
      <c r="D13" s="24" t="inlineStr">
        <is>
          <t>1. Build Task CRUD (`title`, `description`, `project_id`, `assigned_to`, `role_required` [DEV/QA/BA], `priority`, `status`, `estimated_hours`, `start_date`, `due_date`).
2. Enforce strict rule: `task.start_date &gt;= project.start_date` AND `task.due_date &lt;= project.target_end_date` AND `task.due_date &gt;= task.start_date`.
3. Validate that the assignee is an active member of the project.</t>
        </is>
      </c>
      <c r="E13" s="24" t="inlineStr">
        <is>
          <t>Go Domain Services, PostgreSQL Transactions</t>
        </is>
      </c>
      <c r="F13" s="24" t="inlineStr">
        <is>
          <t>Task Management API with Timeline &amp; Membership Guards</t>
        </is>
      </c>
      <c r="G13" s="24" t="inlineStr">
        <is>
          <t>Write boundary tests: task starting 1 second before project start, task ending 1 second after project deadline, and assigning task to user not in project — all must fail with clear 422 errors.</t>
        </is>
      </c>
      <c r="H13" s="26" t="inlineStr">
        <is>
          <t>STEP-3.2</t>
        </is>
      </c>
      <c r="I13" s="27" t="n">
        <v>14</v>
      </c>
      <c r="J13" s="27" t="n">
        <v>0</v>
      </c>
      <c r="K13" s="27">
        <f>I13-J13</f>
        <v/>
      </c>
      <c r="L13" s="26" t="inlineStr">
        <is>
          <t>Not Started</t>
        </is>
      </c>
    </row>
    <row r="14" ht="62" customHeight="1">
      <c r="A14" s="28" t="inlineStr">
        <is>
          <t>STEP-4.2</t>
        </is>
      </c>
      <c r="B14" s="29" t="inlineStr">
        <is>
          <t>Phase 4: Task Management</t>
        </is>
      </c>
      <c r="C14" s="30" t="inlineStr">
        <is>
          <t>Task Dependencies (DAG), Subtasks &amp; Workflow State Machine</t>
        </is>
      </c>
      <c r="D14" s="29" t="inlineStr">
        <is>
          <t>1. Implement parent-child subtasks and predecessor/successor dependencies (`task_dependencies` table: Finish-to-Start).
2. Implement Cycle Detection (Depth-First Search / Kahn's Algorithm in Go) so Task A -&gt; Task B -&gt; Task A circular dependencies are impossible.
3. Enforce workflow rules (e.g., moving task to `InQA` automatically notifies assigned QA; closing task requires checking open subtasks).</t>
        </is>
      </c>
      <c r="E14" s="29" t="inlineStr">
        <is>
          <t>Go Graph/DFS cycle detection algorithm, pgx/v5</t>
        </is>
      </c>
      <c r="F14" s="29" t="inlineStr">
        <is>
          <t>Dependency Graph Validator &amp; Task Workflow Engine</t>
        </is>
      </c>
      <c r="G14" s="29" t="inlineStr">
        <is>
          <t>Unit test 3-node and 5-node circular dependency chains (`A-&gt;B-&gt;C-&gt;A`) and verify cycle detector blocks insertion in &lt; 5ms.</t>
        </is>
      </c>
      <c r="H14" s="31" t="inlineStr">
        <is>
          <t>STEP-4.1</t>
        </is>
      </c>
      <c r="I14" s="32" t="n">
        <v>12</v>
      </c>
      <c r="J14" s="32" t="n">
        <v>0</v>
      </c>
      <c r="K14" s="32">
        <f>I14-J14</f>
        <v/>
      </c>
      <c r="L14" s="31" t="inlineStr">
        <is>
          <t>Not Started</t>
        </is>
      </c>
    </row>
    <row r="15" ht="62" customHeight="1">
      <c r="A15" s="23" t="inlineStr">
        <is>
          <t>STEP-4.3</t>
        </is>
      </c>
      <c r="B15" s="24" t="inlineStr">
        <is>
          <t>Phase 4: Task Management</t>
        </is>
      </c>
      <c r="C15" s="25" t="inlineStr">
        <is>
          <t>Multi-Role Task Estimation (BA Analysis + Dev Coding + QA Testing)</t>
        </is>
      </c>
      <c r="D15" s="24" t="inlineStr">
        <is>
          <t>1. Allow tasks/features to break down estimated hours by role (`ba_est_hours`, `dev_est_hours`, `qa_est_hours`) or link Dev tasks to QA verification tasks.
2. Automatically calculate assignee workload across all active tasks in a given date window.
3. Flag daily over-allocation (e.g., assigning 16 hours of tasks to one developer on a single day).</t>
        </is>
      </c>
      <c r="E15" s="24" t="inlineStr">
        <is>
          <t>Go Workload Aggregator Service, SQL Window Functions</t>
        </is>
      </c>
      <c r="F15" s="24" t="inlineStr">
        <is>
          <t>Role-segmented estimation &amp; Developer overload detector</t>
        </is>
      </c>
      <c r="G15" s="24" t="inlineStr">
        <is>
          <t>Test assigning two 6-hour tasks to the same developer on the same single day (12h &gt; 8h capacity) and verify overload warning flag is returned.</t>
        </is>
      </c>
      <c r="H15" s="26" t="inlineStr">
        <is>
          <t>STEP-4.2</t>
        </is>
      </c>
      <c r="I15" s="27" t="n">
        <v>10</v>
      </c>
      <c r="J15" s="27" t="n">
        <v>0</v>
      </c>
      <c r="K15" s="27">
        <f>I15-J15</f>
        <v/>
      </c>
      <c r="L15" s="26" t="inlineStr">
        <is>
          <t>Not Started</t>
        </is>
      </c>
    </row>
    <row r="16" ht="62" customHeight="1">
      <c r="A16" s="28" t="inlineStr">
        <is>
          <t>STEP-5.1</t>
        </is>
      </c>
      <c r="B16" s="29" t="inlineStr">
        <is>
          <t>Phase 5: Deadline Feasibility Engine</t>
        </is>
      </c>
      <c r="C16" s="30" t="inlineStr">
        <is>
          <t>Core Deadline Feasibility &amp; Critical Path Calculator</t>
        </is>
      </c>
      <c r="D16" s="29" t="inlineStr">
        <is>
          <t>1. Build the mathematical feasibility engine (`GET /api/v1/projects/:id/feasibility`).
2. Calculate: (a) Total Remaining Task Hours (`SUM(max(0, est_hours - logged_hours))`), (b) Remaining Net Available Team Hours from `today` to `project.target_end_date` per role (Dev, QA, BA), (c) Critical Path duration considering sequential task dependencies.
3. Output exact `Projected Completion Date`, `Buffer/Slippage Days`, and `Feasibility Status` (`ON_TRACK`, `AT_RISK`, `CRITICAL_DELAY`).</t>
        </is>
      </c>
      <c r="E16" s="29" t="inlineStr">
        <is>
          <t>Go Critical Path Method (CPM) &amp; Capacity Engine</t>
        </is>
      </c>
      <c r="F16" s="29" t="inlineStr">
        <is>
          <t>Real-Time Deadline Feasibility &amp; Slippage Forecasting API</t>
        </is>
      </c>
      <c r="G16" s="29" t="inlineStr">
        <is>
          <t>Test 5 synthetic project scenarios (under-capacity, exact capacity, bottlenecked QA role, long dependency chain, logged time exceeding estimate) and verify 100% mathematical accuracy.</t>
        </is>
      </c>
      <c r="H16" s="31" t="inlineStr">
        <is>
          <t>STEP-4.3</t>
        </is>
      </c>
      <c r="I16" s="32" t="n">
        <v>16</v>
      </c>
      <c r="J16" s="32" t="n">
        <v>0</v>
      </c>
      <c r="K16" s="32">
        <f>I16-J16</f>
        <v/>
      </c>
      <c r="L16" s="31" t="inlineStr">
        <is>
          <t>Not Started</t>
        </is>
      </c>
    </row>
    <row r="17" ht="62" customHeight="1">
      <c r="A17" s="23" t="inlineStr">
        <is>
          <t>STEP-5.2</t>
        </is>
      </c>
      <c r="B17" s="24" t="inlineStr">
        <is>
          <t>Phase 5: Deadline Feasibility Engine</t>
        </is>
      </c>
      <c r="C17" s="25" t="inlineStr">
        <is>
          <t>What-If Simulation &amp; Bottleneck Recommendation API</t>
        </is>
      </c>
      <c r="D17" s="24" t="inlineStr">
        <is>
          <t>1. Build simulation endpoint (`POST /api/v1/projects/:id/simulate`) allowing PMs to test: 'What if we add 1 more Developer?' or 'What if we extend deadline by 5 days?'
2. Pinpoint exact bottleneck: e.g., 'Dev tasks fit within deadline, but QA lacks 24 hours in the final week.'
3. Identify individual developers whose assigned task hours exceed their available working hours before the project deadline.</t>
        </is>
      </c>
      <c r="E17" s="24" t="inlineStr">
        <is>
          <t>Go In-Memory Simulation Engine</t>
        </is>
      </c>
      <c r="F17" s="24" t="inlineStr">
        <is>
          <t>What-If Resource Simulator &amp; Role Bottleneck Analyzer</t>
        </is>
      </c>
      <c r="G17" s="24" t="inlineStr">
        <is>
          <t>Verify simulation runs strictly read-only in memory without mutating database state, with response time &lt; 50ms for projects with 500+ tasks.</t>
        </is>
      </c>
      <c r="H17" s="26" t="inlineStr">
        <is>
          <t>STEP-5.1</t>
        </is>
      </c>
      <c r="I17" s="27" t="n">
        <v>10</v>
      </c>
      <c r="J17" s="27" t="n">
        <v>0</v>
      </c>
      <c r="K17" s="27">
        <f>I17-J17</f>
        <v/>
      </c>
      <c r="L17" s="26" t="inlineStr">
        <is>
          <t>Not Started</t>
        </is>
      </c>
    </row>
    <row r="18" ht="62" customHeight="1">
      <c r="A18" s="28" t="inlineStr">
        <is>
          <t>STEP-6.1</t>
        </is>
      </c>
      <c r="B18" s="29" t="inlineStr">
        <is>
          <t>Phase 6: Time Tracking Engine</t>
        </is>
      </c>
      <c r="C18" s="30" t="inlineStr">
        <is>
          <t>Live Start/Stop Timer with Concurrency &amp; Race Protection</t>
        </is>
      </c>
      <c r="D18" s="29" t="inlineStr">
        <is>
          <t>1. Implement live timer endpoints: `POST /tasks/:id/timer/start`, `POST /timer/stop`, `GET /timer/active`.
2. Enforce database-level partial unique index (`CREATE UNIQUE INDEX idx_one_active_timer ON time_logs(user_id) WHERE end_time IS NULL`) so a user can NEVER run two concurrent timers even under parallel requests.
3. Auto-stop or prompt on stale timers exceeding configurable max duration (e.g., 12 hours).</t>
        </is>
      </c>
      <c r="E18" s="29" t="inlineStr">
        <is>
          <t>PostgreSQL Partial Unique Index, pgx Serializable/Row Locking</t>
        </is>
      </c>
      <c r="F18" s="29" t="inlineStr">
        <is>
          <t>Concurrency-safe Live Timer API</t>
        </is>
      </c>
      <c r="G18" s="29" t="inlineStr">
        <is>
          <t>Run concurrent test firing 20 simultaneous `timer/start` goroutines for the same user with `go test -race`; verify exactly 1 succeeds and 19 return 409 Conflict.</t>
        </is>
      </c>
      <c r="H18" s="31" t="inlineStr">
        <is>
          <t>STEP-5.1</t>
        </is>
      </c>
      <c r="I18" s="32" t="n">
        <v>12</v>
      </c>
      <c r="J18" s="32" t="n">
        <v>0</v>
      </c>
      <c r="K18" s="32">
        <f>I18-J18</f>
        <v/>
      </c>
      <c r="L18" s="31" t="inlineStr">
        <is>
          <t>Not Started</t>
        </is>
      </c>
    </row>
    <row r="19" ht="62" customHeight="1">
      <c r="A19" s="23" t="inlineStr">
        <is>
          <t>STEP-6.2</t>
        </is>
      </c>
      <c r="B19" s="24" t="inlineStr">
        <is>
          <t>Phase 6: Time Tracking Engine</t>
        </is>
      </c>
      <c r="C19" s="25" t="inlineStr">
        <is>
          <t>Manual Time Logs, Overlap Detection &amp; Timesheet Approval</t>
        </is>
      </c>
      <c r="D19" s="24" t="inlineStr">
        <is>
          <t>1. Build manual time entry CRUD (`date`, `start_time`, `end_time`, `duration_minutes`, `description`, `is_billable`).
2. Detect overlapping time entries for the same user (`tstzrange` overlap check in PostgreSQL).
3. Automatically recalculate `task.logged_hours` and trigger real-time update to the Project Deadline Feasibility score whenever time is logged, edited, or deleted.</t>
        </is>
      </c>
      <c r="E19" s="24" t="inlineStr">
        <is>
          <t>PostgreSQL Range Types (tstzrange), Database Triggers / Go Service Transaction</t>
        </is>
      </c>
      <c r="F19" s="24" t="inlineStr">
        <is>
          <t>Manual Time Entry, Overlap Guard &amp; Timesheet Approval API</t>
        </is>
      </c>
      <c r="G19" s="24" t="inlineStr">
        <is>
          <t>Verify that deleting or editing a time log inside a DB transaction atomically updates the parent task's `actual_hours` with zero drift.</t>
        </is>
      </c>
      <c r="H19" s="26" t="inlineStr">
        <is>
          <t>STEP-6.1</t>
        </is>
      </c>
      <c r="I19" s="27" t="n">
        <v>12</v>
      </c>
      <c r="J19" s="27" t="n">
        <v>0</v>
      </c>
      <c r="K19" s="27">
        <f>I19-J19</f>
        <v/>
      </c>
      <c r="L19" s="26" t="inlineStr">
        <is>
          <t>Not Started</t>
        </is>
      </c>
    </row>
    <row r="20" ht="62" customHeight="1">
      <c r="A20" s="28" t="inlineStr">
        <is>
          <t>STEP-7.1</t>
        </is>
      </c>
      <c r="B20" s="29" t="inlineStr">
        <is>
          <t>Phase 7: Frontend Application</t>
        </is>
      </c>
      <c r="C20" s="30" t="inlineStr">
        <is>
          <t>Frontend Architecture, Auth Flow &amp; Role-Based Layout</t>
        </is>
      </c>
      <c r="D20" s="29" t="inlineStr">
        <is>
          <t>1. Initialize React / Next.js TypeScript frontend with Tailwind CSS and TanStack Query.
2. Build centralized Axios/Fetch client with automatic JWT refresh interceptor.
3. Build role-aware navigation sidebar and user management views (assigning Dev, QA, BA roles &amp; daily capacities).</t>
        </is>
      </c>
      <c r="E20" s="29" t="inlineStr">
        <is>
          <t>React / Next.js, TypeScript, Tailwind CSS, TanStack Query, Zod</t>
        </is>
      </c>
      <c r="F20" s="29" t="inlineStr">
        <is>
          <t>Authenticated Frontend Shell &amp; Team Roster UI</t>
        </is>
      </c>
      <c r="G20" s="29" t="inlineStr">
        <is>
          <t>Strict TypeScript check (`tsc --noEmit`) with zero `any` types; form validation schemas (Zod) matching Go backend validation rules 1:1.</t>
        </is>
      </c>
      <c r="H20" s="31" t="inlineStr">
        <is>
          <t>STEP-2.2</t>
        </is>
      </c>
      <c r="I20" s="32" t="n">
        <v>14</v>
      </c>
      <c r="J20" s="32" t="n">
        <v>0</v>
      </c>
      <c r="K20" s="32">
        <f>I20-J20</f>
        <v/>
      </c>
      <c r="L20" s="31" t="inlineStr">
        <is>
          <t>Not Started</t>
        </is>
      </c>
    </row>
    <row r="21" ht="62" customHeight="1">
      <c r="A21" s="23" t="inlineStr">
        <is>
          <t>STEP-7.2</t>
        </is>
      </c>
      <c r="B21" s="24" t="inlineStr">
        <is>
          <t>Phase 7: Frontend Application</t>
        </is>
      </c>
      <c r="C21" s="25" t="inlineStr">
        <is>
          <t>Interactive Project Timeline (Gantt), Task Board &amp; Feasibility UI</t>
        </is>
      </c>
      <c r="D21" s="24" t="inlineStr">
        <is>
          <t>1. Build Project Detail dashboard showing Team Roster (Devs, QAs, BAs), Interactive Gantt Timeline, and Kanban Board.
2. Constrain task date-pickers in the UI to `[project.start_date, project.target_end_date]`.
3. Build the 'Deadline Health &amp; Feasibility Banner' showing green/amber/red status, remaining capacity vs. remaining task hours by role, and per-developer workload bars.</t>
        </is>
      </c>
      <c r="E21" s="24" t="inlineStr">
        <is>
          <t>React, Gantt/Timeline Component, Recharts / Chart.js</t>
        </is>
      </c>
      <c r="F21" s="24" t="inlineStr">
        <is>
          <t>Project Timeline, Task Scheduler &amp; Deadline Feasibility UI</t>
        </is>
      </c>
      <c r="G21" s="24" t="inlineStr">
        <is>
          <t>End-to-end UI test verifying creating a task immediately updates the Deadline Feasibility gauge and highlights any over-allocated developer.</t>
        </is>
      </c>
      <c r="H21" s="26" t="inlineStr">
        <is>
          <t>STEP-5.2, STEP-7.1</t>
        </is>
      </c>
      <c r="I21" s="27" t="n">
        <v>18</v>
      </c>
      <c r="J21" s="27" t="n">
        <v>0</v>
      </c>
      <c r="K21" s="27">
        <f>I21-J21</f>
        <v/>
      </c>
      <c r="L21" s="26" t="inlineStr">
        <is>
          <t>Not Started</t>
        </is>
      </c>
    </row>
    <row r="22" ht="62" customHeight="1">
      <c r="A22" s="28" t="inlineStr">
        <is>
          <t>STEP-7.3</t>
        </is>
      </c>
      <c r="B22" s="29" t="inlineStr">
        <is>
          <t>Phase 7: Frontend Application</t>
        </is>
      </c>
      <c r="C22" s="30" t="inlineStr">
        <is>
          <t>Persistent Global Timer Widget &amp; Weekly Timesheet Grid</t>
        </is>
      </c>
      <c r="D22" s="29" t="inlineStr">
        <is>
          <t>1. Build a sticky header/floating Active Timer widget showing elapsed `HH:MM:SS` across page navigation.
2. Build Weekly Timesheet matrix view where Devs/QAs/BAs can view daily logged totals, log manual hours, and see Actual vs. Estimated burn-down per task.
3. Add CSV/PDF export for project time reports.</t>
        </is>
      </c>
      <c r="E22" s="29" t="inlineStr">
        <is>
          <t>React Context / Zustand, Web Workers / Interval sync</t>
        </is>
      </c>
      <c r="F22" s="29" t="inlineStr">
        <is>
          <t>Global Timer Widget, Timesheet Grid &amp; Export Module</t>
        </is>
      </c>
      <c r="G22" s="29" t="inlineStr">
        <is>
          <t>Verify browser tab backgrounding does not cause timer drift (compute elapsed time from server `start_time` UTC delta, never simple `setInterval` counter).</t>
        </is>
      </c>
      <c r="H22" s="31" t="inlineStr">
        <is>
          <t>STEP-6.2, STEP-7.2</t>
        </is>
      </c>
      <c r="I22" s="32" t="n">
        <v>14</v>
      </c>
      <c r="J22" s="32" t="n">
        <v>0</v>
      </c>
      <c r="K22" s="32">
        <f>I22-J22</f>
        <v/>
      </c>
      <c r="L22" s="31" t="inlineStr">
        <is>
          <t>Not Started</t>
        </is>
      </c>
    </row>
    <row r="23" ht="62" customHeight="1">
      <c r="A23" s="23" t="inlineStr">
        <is>
          <t>STEP-8.1</t>
        </is>
      </c>
      <c r="B23" s="24" t="inlineStr">
        <is>
          <t>Phase 8: QA, Hardening &amp; Launch</t>
        </is>
      </c>
      <c r="C23" s="25" t="inlineStr">
        <is>
          <t>Comprehensive Unit, Integration &amp; Race-Condition Test Suite</t>
        </is>
      </c>
      <c r="D23" s="24" t="inlineStr">
        <is>
          <t>1. Write integration tests using `testcontainers-go` spinning up a real ephemeral PostgreSQL instance.
2. Test complete lifecycle: Create Project -&gt; Assign Dev/QA/BA -&gt; Create Tasks within range -&gt; Check Feasibility -&gt; Log Time -&gt; Complete Project.
3. Run `go test -race ./...` across all packages and Playwright E2E tests on the UI.</t>
        </is>
      </c>
      <c r="E23" s="24" t="inlineStr">
        <is>
          <t>testcontainers-go, Go testing, testify, Playwright</t>
        </is>
      </c>
      <c r="F23" s="24" t="inlineStr">
        <is>
          <t>Automated CI Test Suite (&gt;85% coverage, 0 race conditions)</t>
        </is>
      </c>
      <c r="G23" s="24" t="inlineStr">
        <is>
          <t>All unit, integration (`testcontainers-go`), and E2E tests pass 100% in CI; `go test -race` reports 0 data races.</t>
        </is>
      </c>
      <c r="H23" s="26" t="inlineStr">
        <is>
          <t>STEP-7.3</t>
        </is>
      </c>
      <c r="I23" s="27" t="n">
        <v>14</v>
      </c>
      <c r="J23" s="27" t="n">
        <v>0</v>
      </c>
      <c r="K23" s="27">
        <f>I23-J23</f>
        <v/>
      </c>
      <c r="L23" s="26" t="inlineStr">
        <is>
          <t>Not Started</t>
        </is>
      </c>
    </row>
    <row r="24" ht="62" customHeight="1">
      <c r="A24" s="28" t="inlineStr">
        <is>
          <t>STEP-8.2</t>
        </is>
      </c>
      <c r="B24" s="29" t="inlineStr">
        <is>
          <t>Phase 8: QA, Hardening &amp; Launch</t>
        </is>
      </c>
      <c r="C24" s="30" t="inlineStr">
        <is>
          <t>Security Audit, Load Testing &amp; Docker Production Deployment</t>
        </is>
      </c>
      <c r="D24" s="29" t="inlineStr">
        <is>
          <t>1. Run `govulncheck` and OWASP security checks (SQLi, IDOR, rate limiting, CORS).
2. Load test feasibility &amp; timer endpoints using `k6` (simulate 200 concurrent users logging time and querying project dashboards).
3. Build multi-stage distroless/Alpine Docker image (&lt;30MB) with graceful shutdown (`SIGTERM` handling) and automated DB backup cron.</t>
        </is>
      </c>
      <c r="E24" s="29" t="inlineStr">
        <is>
          <t>Docker multi-stage build, k6, govulncheck, Nginx/Caddy</t>
        </is>
      </c>
      <c r="F24" s="29" t="inlineStr">
        <is>
          <t>Production-ready Docker deployment &amp; Load Test Report</t>
        </is>
      </c>
      <c r="G24" s="29" t="inlineStr">
        <is>
          <t>99th percentile API latency &lt; 100ms under 200 VUs in k6; 0 errors during graceful container restart; `govulncheck` reports 0 vulnerabilities.</t>
        </is>
      </c>
      <c r="H24" s="31" t="inlineStr">
        <is>
          <t>STEP-8.1</t>
        </is>
      </c>
      <c r="I24" s="32" t="n">
        <v>10</v>
      </c>
      <c r="J24" s="32" t="n">
        <v>0</v>
      </c>
      <c r="K24" s="32">
        <f>I24-J24</f>
        <v/>
      </c>
      <c r="L24" s="31" t="inlineStr">
        <is>
          <t>Not Started</t>
        </is>
      </c>
    </row>
    <row r="25" ht="26" customHeight="1">
      <c r="A25" s="33" t="inlineStr">
        <is>
          <t>TOTAL</t>
        </is>
      </c>
      <c r="B25" s="34" t="n"/>
      <c r="C25" s="34" t="inlineStr">
        <is>
          <t>Total Steps: 20 Milestones Across 8 Phases</t>
        </is>
      </c>
      <c r="D25" s="34" t="n"/>
      <c r="E25" s="34" t="n"/>
      <c r="F25" s="34" t="n"/>
      <c r="G25" s="34" t="n"/>
      <c r="H25" s="34" t="n"/>
      <c r="I25" s="35">
        <f>SUM(I5:I24)</f>
        <v/>
      </c>
      <c r="J25" s="35">
        <f>SUM(J5:J24)</f>
        <v/>
      </c>
      <c r="K25" s="35">
        <f>SUM(K5:K24)</f>
        <v/>
      </c>
      <c r="L25" s="33">
        <f>COUNTIF(L5:L24,"Completed")&amp;"/"&amp;COUNTA(A5:A24)&amp;" Done"</f>
        <v/>
      </c>
    </row>
  </sheetData>
  <autoFilter ref="A4:L24"/>
  <mergeCells count="2">
    <mergeCell ref="A2:L2"/>
    <mergeCell ref="A1:L1"/>
  </mergeCells>
  <conditionalFormatting sqref="L5:L24">
    <cfRule type="cellIs" priority="1" operator="equal" dxfId="0">
      <formula>"Completed"</formula>
    </cfRule>
    <cfRule type="cellIs" priority="2" operator="equal" dxfId="1">
      <formula>"In Progress"</formula>
    </cfRule>
    <cfRule type="cellIs" priority="3" operator="equal" dxfId="2">
      <formula>"Testing / QA"</formula>
    </cfRule>
    <cfRule type="cellIs" priority="4" operator="equal" dxfId="3">
      <formula>"Not Started"</formula>
    </cfRule>
  </conditionalFormatting>
  <dataValidations count="1">
    <dataValidation sqref="L5:L24" showDropDown="0" showInputMessage="0" showErrorMessage="0" allowBlank="0" type="list">
      <formula1>"Not Started,In Progress,Testing / QA,Completed"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2"/>
  <sheetViews>
    <sheetView showGridLines="1" workbookViewId="0">
      <pane xSplit="5" ySplit="4" topLeftCell="F5" activePane="bottomRight" state="frozen"/>
      <selection pane="topRight"/>
      <selection pane="bottomLeft"/>
      <selection pane="bottomRight" activeCell="A1" sqref="A1"/>
    </sheetView>
  </sheetViews>
  <sheetFormatPr baseColWidth="8" defaultRowHeight="15"/>
  <cols>
    <col width="11" customWidth="1" min="1" max="1"/>
    <col width="26" customWidth="1" min="2" max="2"/>
    <col width="22" customWidth="1" min="3" max="3"/>
    <col width="20" customWidth="1" min="4" max="4"/>
    <col width="34" customWidth="1" min="5" max="5"/>
    <col width="48" customWidth="1" min="6" max="6"/>
    <col width="46" customWidth="1" min="7" max="7"/>
    <col width="40" customWidth="1" min="8" max="8"/>
    <col width="18" customWidth="1" min="9" max="9"/>
    <col width="12" customWidth="1" min="10" max="10"/>
    <col width="12" customWidth="1" min="11" max="11"/>
    <col width="12" customWidth="1" min="12" max="12"/>
    <col width="15" customWidth="1" min="13" max="13"/>
  </cols>
  <sheetData>
    <row r="1" ht="30" customHeight="1">
      <c r="A1" s="1" t="inlineStr">
        <is>
          <t>COMPLETE GRANULAR TASK BREAKDOWN (END-TO-END SYSTEM IMPLEMENTATION)</t>
        </is>
      </c>
    </row>
    <row r="2" ht="20" customHeight="1">
      <c r="A2" s="2" t="inlineStr">
        <is>
          <t>Actionable Engineering Tasks with Go Specs, Edge-Case Bug Prevention Rules &amp; Definition of Done</t>
        </is>
      </c>
    </row>
    <row r="4" ht="28" customHeight="1">
      <c r="A4" s="9" t="inlineStr">
        <is>
          <t>Task ID</t>
        </is>
      </c>
      <c r="B4" s="9" t="inlineStr">
        <is>
          <t>Phase</t>
        </is>
      </c>
      <c r="C4" s="9" t="inlineStr">
        <is>
          <t>System Module</t>
        </is>
      </c>
      <c r="D4" s="9" t="inlineStr">
        <is>
          <t>Architecture Layer</t>
        </is>
      </c>
      <c r="E4" s="9" t="inlineStr">
        <is>
          <t>Task Title</t>
        </is>
      </c>
      <c r="F4" s="9" t="inlineStr">
        <is>
          <t>Technical Implementation Details (Go / SQL / UI)</t>
        </is>
      </c>
      <c r="G4" s="9" t="inlineStr">
        <is>
          <t>Zero-Bug Edge Case &amp; Validation Rules</t>
        </is>
      </c>
      <c r="H4" s="9" t="inlineStr">
        <is>
          <t>Definition of Done (Acceptance Criteria)</t>
        </is>
      </c>
      <c r="I4" s="9" t="inlineStr">
        <is>
          <t>Assigned Role</t>
        </is>
      </c>
      <c r="J4" s="9" t="inlineStr">
        <is>
          <t>Priority</t>
        </is>
      </c>
      <c r="K4" s="9" t="inlineStr">
        <is>
          <t>Est. Hours</t>
        </is>
      </c>
      <c r="L4" s="9" t="inlineStr">
        <is>
          <t>Actual Hours</t>
        </is>
      </c>
      <c r="M4" s="9" t="inlineStr">
        <is>
          <t>Status</t>
        </is>
      </c>
    </row>
    <row r="5" ht="56" customHeight="1">
      <c r="A5" s="23" t="inlineStr">
        <is>
          <t>TSK-001</t>
        </is>
      </c>
      <c r="B5" s="24" t="inlineStr">
        <is>
          <t>Phase 1: Foundation &amp; DB Setup</t>
        </is>
      </c>
      <c r="C5" s="24" t="inlineStr">
        <is>
          <t>Core Infrastructure</t>
        </is>
      </c>
      <c r="D5" s="24" t="inlineStr">
        <is>
          <t>Architecture &amp; Docs</t>
        </is>
      </c>
      <c r="E5" s="25" t="inlineStr">
        <is>
          <t>Define OpenAPI 3.0 Specification for All System Modules</t>
        </is>
      </c>
      <c r="F5" s="24" t="inlineStr">
        <is>
          <t>Write `openapi.yaml` defining schemas and REST paths for Auth, Users, Roles (Dev/QA/BA/PM), Projects, ProjectMembers, Tasks, Feasibility Engine, and TimeLogs.</t>
        </is>
      </c>
      <c r="G5" s="24" t="inlineStr">
        <is>
          <t>Ensure all date fields specify ISO-8601 UTC (`2026-10-18T00:00:00Z`) and duration fields specify minutes or decimal hours consistently.</t>
        </is>
      </c>
      <c r="H5" s="24" t="inlineStr">
        <is>
          <t>Swagger UI renders without schema errors; all request/response payloads documented.</t>
        </is>
      </c>
      <c r="I5" s="26" t="inlineStr">
        <is>
          <t>Business Analyst</t>
        </is>
      </c>
      <c r="J5" s="26" t="inlineStr">
        <is>
          <t>Critical</t>
        </is>
      </c>
      <c r="K5" s="27" t="n">
        <v>4</v>
      </c>
      <c r="L5" s="27" t="n">
        <v>0</v>
      </c>
      <c r="M5" s="26" t="inlineStr">
        <is>
          <t>Not Started</t>
        </is>
      </c>
    </row>
    <row r="6" ht="56" customHeight="1">
      <c r="A6" s="28" t="inlineStr">
        <is>
          <t>TSK-002</t>
        </is>
      </c>
      <c r="B6" s="29" t="inlineStr">
        <is>
          <t>Phase 1: Foundation &amp; DB Setup</t>
        </is>
      </c>
      <c r="C6" s="29" t="inlineStr">
        <is>
          <t>Core Infrastructure</t>
        </is>
      </c>
      <c r="D6" s="29" t="inlineStr">
        <is>
          <t>Backend (Go)</t>
        </is>
      </c>
      <c r="E6" s="30" t="inlineStr">
        <is>
          <t>Initialize Go Module, Clean Architecture Directories &amp; Makefile</t>
        </is>
      </c>
      <c r="F6" s="29" t="inlineStr">
        <is>
          <t>Create `cmd/api/main.go`, `internal/config`, `internal/domain`, `internal/repository`, `internal/service`, `internal/handler`, `pkg/response`, `pkg/errcode`. Configure Makefile targets (`build`, `run`, `test`, `lint`, `migrate-up`).</t>
        </is>
      </c>
      <c r="G6" s="29" t="inlineStr">
        <is>
          <t>Enforce zero circular package dependencies; disallow global mutable state outside `main.go` dependency injection.</t>
        </is>
      </c>
      <c r="H6" s="29" t="inlineStr">
        <is>
          <t>`go build ./...` and `golangci-lint run` pass with 0 warnings.</t>
        </is>
      </c>
      <c r="I6" s="31" t="inlineStr">
        <is>
          <t>Backend Dev (Go)</t>
        </is>
      </c>
      <c r="J6" s="31" t="inlineStr">
        <is>
          <t>Critical</t>
        </is>
      </c>
      <c r="K6" s="32" t="n">
        <v>3</v>
      </c>
      <c r="L6" s="32" t="n">
        <v>0</v>
      </c>
      <c r="M6" s="31" t="inlineStr">
        <is>
          <t>Not Started</t>
        </is>
      </c>
    </row>
    <row r="7" ht="56" customHeight="1">
      <c r="A7" s="23" t="inlineStr">
        <is>
          <t>TSK-003</t>
        </is>
      </c>
      <c r="B7" s="24" t="inlineStr">
        <is>
          <t>Phase 1: Foundation &amp; DB Setup</t>
        </is>
      </c>
      <c r="C7" s="24" t="inlineStr">
        <is>
          <t>Core Infrastructure</t>
        </is>
      </c>
      <c r="D7" s="24" t="inlineStr">
        <is>
          <t>Backend (Go)</t>
        </is>
      </c>
      <c r="E7" s="25" t="inlineStr">
        <is>
          <t>Implement Environment Configuration Loader with Strict Validation</t>
        </is>
      </c>
      <c r="F7" s="24" t="inlineStr">
        <is>
          <t>Use `caarlos0/env` or `viper` to load `DB_DSN`, `REDIS_ADDR`, `JWT_SECRET`, `PORT`, `WORK_HOURS_PER_DAY` (default 8.0). Fail fast on startup if required keys are missing.</t>
        </is>
      </c>
      <c r="G7" s="24" t="inlineStr">
        <is>
          <t>Reject weak `JWT_SECRET` (&lt; 32 bytes) at startup; validate DB connection pool settings (`MaxConns`, `MinConns`, `MaxConnLifetime`).</t>
        </is>
      </c>
      <c r="H7" s="24" t="inlineStr">
        <is>
          <t>Unit test verifies app refuses to boot when required env vars are missing or malformed.</t>
        </is>
      </c>
      <c r="I7" s="26" t="inlineStr">
        <is>
          <t>Backend Dev (Go)</t>
        </is>
      </c>
      <c r="J7" s="26" t="inlineStr">
        <is>
          <t>High</t>
        </is>
      </c>
      <c r="K7" s="27" t="n">
        <v>2.5</v>
      </c>
      <c r="L7" s="27" t="n">
        <v>0</v>
      </c>
      <c r="M7" s="26" t="inlineStr">
        <is>
          <t>Not Started</t>
        </is>
      </c>
    </row>
    <row r="8" ht="56" customHeight="1">
      <c r="A8" s="28" t="inlineStr">
        <is>
          <t>TSK-004</t>
        </is>
      </c>
      <c r="B8" s="29" t="inlineStr">
        <is>
          <t>Phase 1: Foundation &amp; DB Setup</t>
        </is>
      </c>
      <c r="C8" s="29" t="inlineStr">
        <is>
          <t>Core Infrastructure</t>
        </is>
      </c>
      <c r="D8" s="29" t="inlineStr">
        <is>
          <t>Database (PostgreSQL)</t>
        </is>
      </c>
      <c r="E8" s="30" t="inlineStr">
        <is>
          <t>Setup Docker Compose (PostgreSQL 16 + Redis 7) &amp; Connection Pool</t>
        </is>
      </c>
      <c r="F8" s="29" t="inlineStr">
        <is>
          <t>Configure `docker-compose.yml` with persistent volumes and healthchecks. Implement `pgxpool.Pool` initialization in Go with `context.WithTimeout` ping verification.</t>
        </is>
      </c>
      <c r="G8" s="29" t="inlineStr">
        <is>
          <t>Handle transient DB startup delays with exponential backoff retry; ensure `pgxpool` runs in UTC timezone (`TimeZone=UTC`).</t>
        </is>
      </c>
      <c r="H8" s="29" t="inlineStr">
        <is>
          <t>`GET /healthz` returns HTTP 200 with DB and Redis latency in milliseconds.</t>
        </is>
      </c>
      <c r="I8" s="31" t="inlineStr">
        <is>
          <t>DevOps</t>
        </is>
      </c>
      <c r="J8" s="31" t="inlineStr">
        <is>
          <t>Critical</t>
        </is>
      </c>
      <c r="K8" s="32" t="n">
        <v>3</v>
      </c>
      <c r="L8" s="32" t="n">
        <v>0</v>
      </c>
      <c r="M8" s="31" t="inlineStr">
        <is>
          <t>Not Started</t>
        </is>
      </c>
    </row>
    <row r="9" ht="56" customHeight="1">
      <c r="A9" s="23" t="inlineStr">
        <is>
          <t>TSK-005</t>
        </is>
      </c>
      <c r="B9" s="24" t="inlineStr">
        <is>
          <t>Phase 1: Foundation &amp; DB Setup</t>
        </is>
      </c>
      <c r="C9" s="24" t="inlineStr">
        <is>
          <t>Core Infrastructure</t>
        </is>
      </c>
      <c r="D9" s="24" t="inlineStr">
        <is>
          <t>Database (PostgreSQL)</t>
        </is>
      </c>
      <c r="E9" s="25" t="inlineStr">
        <is>
          <t>Create SQL Migrations for Users, Roles &amp; Holiday Calendars</t>
        </is>
      </c>
      <c r="F9" s="24" t="inlineStr">
        <is>
          <t>Write `000001_init_users_roles.up.sql` creating `users` (`id` UUID PK, `email` UNIQUE, `password_hash`, `full_name`, `system_role`, `default_daily_hours` NUMERIC(4,2), `is_active`), and `company_holidays` (`holiday_date` DATE UNIQUE, `name`).</t>
        </is>
      </c>
      <c r="G9" s="24" t="inlineStr">
        <is>
          <t>Add `CHECK (default_daily_hours &gt; 0 AND default_daily_hours &lt;= 24)`; store emails in lowercase (`CITEXT` or `LOWER(email)` unique index).</t>
        </is>
      </c>
      <c r="H9" s="24" t="inlineStr">
        <is>
          <t>Up and down migrations execute cleanly; invalid `default_daily_hours` (e.g., 0 or 25) rejected by DB.</t>
        </is>
      </c>
      <c r="I9" s="26" t="inlineStr">
        <is>
          <t>Backend Dev (Go)</t>
        </is>
      </c>
      <c r="J9" s="26" t="inlineStr">
        <is>
          <t>Critical</t>
        </is>
      </c>
      <c r="K9" s="27" t="n">
        <v>3.5</v>
      </c>
      <c r="L9" s="27" t="n">
        <v>0</v>
      </c>
      <c r="M9" s="26" t="inlineStr">
        <is>
          <t>Not Started</t>
        </is>
      </c>
    </row>
    <row r="10" ht="56" customHeight="1">
      <c r="A10" s="28" t="inlineStr">
        <is>
          <t>TSK-006</t>
        </is>
      </c>
      <c r="B10" s="29" t="inlineStr">
        <is>
          <t>Phase 1: Foundation &amp; DB Setup</t>
        </is>
      </c>
      <c r="C10" s="29" t="inlineStr">
        <is>
          <t>Core Infrastructure</t>
        </is>
      </c>
      <c r="D10" s="29" t="inlineStr">
        <is>
          <t>Database (PostgreSQL)</t>
        </is>
      </c>
      <c r="E10" s="30" t="inlineStr">
        <is>
          <t>Create SQL Migrations for Projects, Project Members &amp; Milestones</t>
        </is>
      </c>
      <c r="F10" s="29" t="inlineStr">
        <is>
          <t>Write `000002_projects_and_members.up.sql` creating `projects` (`id`, `code` UNIQUE, `name`, `start_date` DATE, `target_end_date` DATE, `status`, `budget_hours`) and `project_members` (`project_id`, `user_id`, `project_role` ['DEVELOPER','QA','BA','PM'], `allocation_pct`, `daily_capacity_hrs`, `joined_date`, `left_date`).</t>
        </is>
      </c>
      <c r="G10" s="29" t="inlineStr">
        <is>
          <t>Enforce `CHECK (target_end_date &gt;= start_date)` on `projects` and `UNIQUE (project_id, user_id, project_role)` on `project_members`.</t>
        </is>
      </c>
      <c r="H10" s="29" t="inlineStr">
        <is>
          <t>DB blocks project creation if `target_end_date &lt; start_date` and prevents duplicate user-role assignments.</t>
        </is>
      </c>
      <c r="I10" s="31" t="inlineStr">
        <is>
          <t>Backend Dev (Go)</t>
        </is>
      </c>
      <c r="J10" s="31" t="inlineStr">
        <is>
          <t>Critical</t>
        </is>
      </c>
      <c r="K10" s="32" t="n">
        <v>4</v>
      </c>
      <c r="L10" s="32" t="n">
        <v>0</v>
      </c>
      <c r="M10" s="31" t="inlineStr">
        <is>
          <t>Not Started</t>
        </is>
      </c>
    </row>
    <row r="11" ht="56" customHeight="1">
      <c r="A11" s="23" t="inlineStr">
        <is>
          <t>TSK-007</t>
        </is>
      </c>
      <c r="B11" s="24" t="inlineStr">
        <is>
          <t>Phase 1: Foundation &amp; DB Setup</t>
        </is>
      </c>
      <c r="C11" s="24" t="inlineStr">
        <is>
          <t>Core Infrastructure</t>
        </is>
      </c>
      <c r="D11" s="24" t="inlineStr">
        <is>
          <t>Database (PostgreSQL)</t>
        </is>
      </c>
      <c r="E11" s="25" t="inlineStr">
        <is>
          <t>Create SQL Migrations for Tasks, Dependencies &amp; Time Logs</t>
        </is>
      </c>
      <c r="F11" s="24" t="inlineStr">
        <is>
          <t>Write `000003_tasks_and_timelogs.up.sql` creating `tasks` (`id`, `project_id`, `parent_task_id`, `title`, `assigned_to`, `required_role` ['DEVELOPER','QA','BA'], `status`, `priority`, `estimated_hours`, `logged_hours`, `start_date`, `due_date`), `task_dependencies`, and `time_logs`.</t>
        </is>
      </c>
      <c r="G11" s="24" t="inlineStr">
        <is>
          <t>Enforce `CHECK (due_date &gt;= start_date)`, `CHECK (estimated_hours &gt; 0)`, and partial unique index `CREATE UNIQUE INDEX idx_single_running_timer ON time_logs(user_id) WHERE end_time IS NULL`.</t>
        </is>
      </c>
      <c r="H11" s="24" t="inlineStr">
        <is>
          <t>All foreign keys, indexes, and partial unique timer index verified via SQL test script.</t>
        </is>
      </c>
      <c r="I11" s="26" t="inlineStr">
        <is>
          <t>Backend Dev (Go)</t>
        </is>
      </c>
      <c r="J11" s="26" t="inlineStr">
        <is>
          <t>Critical</t>
        </is>
      </c>
      <c r="K11" s="27" t="n">
        <v>4.5</v>
      </c>
      <c r="L11" s="27" t="n">
        <v>0</v>
      </c>
      <c r="M11" s="26" t="inlineStr">
        <is>
          <t>Not Started</t>
        </is>
      </c>
    </row>
    <row r="12" ht="56" customHeight="1">
      <c r="A12" s="28" t="inlineStr">
        <is>
          <t>TSK-008</t>
        </is>
      </c>
      <c r="B12" s="29" t="inlineStr">
        <is>
          <t>Phase 1: Foundation &amp; DB Setup</t>
        </is>
      </c>
      <c r="C12" s="29" t="inlineStr">
        <is>
          <t>Core Infrastructure</t>
        </is>
      </c>
      <c r="D12" s="29" t="inlineStr">
        <is>
          <t>Backend (Go)</t>
        </is>
      </c>
      <c r="E12" s="30" t="inlineStr">
        <is>
          <t>Build Standardized API Response, Error Envelope &amp; Panic Recovery Middleware</t>
        </is>
      </c>
      <c r="F12" s="29" t="inlineStr">
        <is>
          <t>Implement unified JSON response format (`{success, data, error: {code, message, details}, meta}`) and Gin/Echo middleware for request ID injection, structured `slog` logging, CORS, and panic recovery.</t>
        </is>
      </c>
      <c r="G12" s="29" t="inlineStr">
        <is>
          <t>Never leak internal SQL error strings or stack traces in HTTP 500 client responses; log full details internally with `request_id`.</t>
        </is>
      </c>
      <c r="H12" s="29" t="inlineStr">
        <is>
          <t>Unit tests confirm 400, 404, 409, 422, and recovered 500 responses match OpenAPI schema.</t>
        </is>
      </c>
      <c r="I12" s="31" t="inlineStr">
        <is>
          <t>Backend Dev (Go)</t>
        </is>
      </c>
      <c r="J12" s="31" t="inlineStr">
        <is>
          <t>High</t>
        </is>
      </c>
      <c r="K12" s="32" t="n">
        <v>4</v>
      </c>
      <c r="L12" s="32" t="n">
        <v>0</v>
      </c>
      <c r="M12" s="31" t="inlineStr">
        <is>
          <t>Not Started</t>
        </is>
      </c>
    </row>
    <row r="13" ht="56" customHeight="1">
      <c r="A13" s="23" t="inlineStr">
        <is>
          <t>TSK-009</t>
        </is>
      </c>
      <c r="B13" s="24" t="inlineStr">
        <is>
          <t>Phase 2: Auth &amp; Role Engine</t>
        </is>
      </c>
      <c r="C13" s="24" t="inlineStr">
        <is>
          <t>Authentication &amp; Security</t>
        </is>
      </c>
      <c r="D13" s="24" t="inlineStr">
        <is>
          <t>Backend (Go)</t>
        </is>
      </c>
      <c r="E13" s="25" t="inlineStr">
        <is>
          <t>Implement Password Hashing &amp; JWT Access/Refresh Token Service</t>
        </is>
      </c>
      <c r="F13" s="24" t="inlineStr">
        <is>
          <t>Build `AuthService` using `bcrypt` (cost 12) or `argon2id`. Issue 15-min signed JWT access tokens (`user_id`, `system_role`) and 7-day refresh tokens stored in Redis with TTL.</t>
        </is>
      </c>
      <c r="G13" s="24" t="inlineStr">
        <is>
          <t>Reject tokens signed with `none` algorithm; enforce clock-skew tolerance &lt;= 30s; invalidate refresh token upon logout or password change.</t>
        </is>
      </c>
      <c r="H13" s="24" t="inlineStr">
        <is>
          <t>Unit tests pass for token generation, parsing, expiration, and replay prevention.</t>
        </is>
      </c>
      <c r="I13" s="26" t="inlineStr">
        <is>
          <t>Backend Dev (Go)</t>
        </is>
      </c>
      <c r="J13" s="26" t="inlineStr">
        <is>
          <t>Critical</t>
        </is>
      </c>
      <c r="K13" s="27" t="n">
        <v>5</v>
      </c>
      <c r="L13" s="27" t="n">
        <v>0</v>
      </c>
      <c r="M13" s="26" t="inlineStr">
        <is>
          <t>Not Started</t>
        </is>
      </c>
    </row>
    <row r="14" ht="56" customHeight="1">
      <c r="A14" s="28" t="inlineStr">
        <is>
          <t>TSK-010</t>
        </is>
      </c>
      <c r="B14" s="29" t="inlineStr">
        <is>
          <t>Phase 2: Auth &amp; Role Engine</t>
        </is>
      </c>
      <c r="C14" s="29" t="inlineStr">
        <is>
          <t>Authentication &amp; Security</t>
        </is>
      </c>
      <c r="D14" s="29" t="inlineStr">
        <is>
          <t>Backend (Go)</t>
        </is>
      </c>
      <c r="E14" s="30" t="inlineStr">
        <is>
          <t>Build Auth REST Endpoints (`/login`, `/refresh`, `/logout`, `/me`)</t>
        </is>
      </c>
      <c r="F14" s="29" t="inlineStr">
        <is>
          <t>Create HTTP handlers for login, token refresh, logout, and fetching current user profile. Add rate-limiting middleware (e.g., max 5 failed login attempts per minute per IP).</t>
        </is>
      </c>
      <c r="G14" s="29" t="inlineStr">
        <is>
          <t>Return identical generic error message (`Invalid email or password`) for both non-existent email and wrong password to prevent user enumeration.</t>
        </is>
      </c>
      <c r="H14" s="29" t="inlineStr">
        <is>
          <t>Integration tests verify login flow, rate limiting (HTTP 429), and `/me` profile retrieval.</t>
        </is>
      </c>
      <c r="I14" s="31" t="inlineStr">
        <is>
          <t>Backend Dev (Go)</t>
        </is>
      </c>
      <c r="J14" s="31" t="inlineStr">
        <is>
          <t>Critical</t>
        </is>
      </c>
      <c r="K14" s="32" t="n">
        <v>4</v>
      </c>
      <c r="L14" s="32" t="n">
        <v>0</v>
      </c>
      <c r="M14" s="31" t="inlineStr">
        <is>
          <t>Not Started</t>
        </is>
      </c>
    </row>
    <row r="15" ht="56" customHeight="1">
      <c r="A15" s="23" t="inlineStr">
        <is>
          <t>TSK-011</t>
        </is>
      </c>
      <c r="B15" s="24" t="inlineStr">
        <is>
          <t>Phase 2: Auth &amp; Role Engine</t>
        </is>
      </c>
      <c r="C15" s="24" t="inlineStr">
        <is>
          <t>Role &amp; User Management</t>
        </is>
      </c>
      <c r="D15" s="24" t="inlineStr">
        <is>
          <t>Backend (Go)</t>
        </is>
      </c>
      <c r="E15" s="25" t="inlineStr">
        <is>
          <t>Implement User &amp; Functional Role Management API (Dev, QA, BA, PM)</t>
        </is>
      </c>
      <c r="F15" s="24" t="inlineStr">
        <is>
          <t>Build endpoints `POST /api/v1/users`, `GET /api/v1/users`, `PATCH /api/v1/users/:id` allowing Admins/PMs to register team members and designate primary specialization (`DEVELOPER`, `QA`, `BA`, `PM`), skills, and daily work hours.</t>
        </is>
      </c>
      <c r="G15" s="24" t="inlineStr">
        <is>
          <t>Prevent deactivating a user who currently has an active running timer (auto-stop timer first) or reassign open tasks before deactivation.</t>
        </is>
      </c>
      <c r="H15" s="24" t="inlineStr">
        <is>
          <t>CRUD operations tested; filtering users by role (`?role=DEVELOPER`, `?role=QA`, `?role=BA`) works accurately.</t>
        </is>
      </c>
      <c r="I15" s="26" t="inlineStr">
        <is>
          <t>Backend Dev (Go)</t>
        </is>
      </c>
      <c r="J15" s="26" t="inlineStr">
        <is>
          <t>High</t>
        </is>
      </c>
      <c r="K15" s="27" t="n">
        <v>5</v>
      </c>
      <c r="L15" s="27" t="n">
        <v>0</v>
      </c>
      <c r="M15" s="26" t="inlineStr">
        <is>
          <t>Not Started</t>
        </is>
      </c>
    </row>
    <row r="16" ht="56" customHeight="1">
      <c r="A16" s="28" t="inlineStr">
        <is>
          <t>TSK-012</t>
        </is>
      </c>
      <c r="B16" s="29" t="inlineStr">
        <is>
          <t>Phase 2: Auth &amp; Role Engine</t>
        </is>
      </c>
      <c r="C16" s="29" t="inlineStr">
        <is>
          <t>Role &amp; User Management</t>
        </is>
      </c>
      <c r="D16" s="29" t="inlineStr">
        <is>
          <t>Backend (Go)</t>
        </is>
      </c>
      <c r="E16" s="30" t="inlineStr">
        <is>
          <t>Implement Project-Scoped RBAC Authorization Middleware</t>
        </is>
      </c>
      <c r="F16" s="29" t="inlineStr">
        <is>
          <t>Create middleware that checks both global role (Admin/PM) and project-specific role (`project_members` table: Developer, QA, BA). Ensure only PM/Admin can alter project dates, while BA/Dev/QA can manage tasks based on permissions.</t>
        </is>
      </c>
      <c r="G16" s="29" t="inlineStr">
        <is>
          <t>Prevent IDOR (Insecure Direct Object Reference): a user in Project A must get HTTP 403 Forbidden if they pass a `task_id` belonging to private Project B.</t>
        </is>
      </c>
      <c r="H16" s="29" t="inlineStr">
        <is>
          <t>Automated security test matrix covering Admin, PM, BA, Dev, QA, and Unassigned User across all routes.</t>
        </is>
      </c>
      <c r="I16" s="31" t="inlineStr">
        <is>
          <t>Backend Dev (Go)</t>
        </is>
      </c>
      <c r="J16" s="31" t="inlineStr">
        <is>
          <t>Critical</t>
        </is>
      </c>
      <c r="K16" s="32" t="n">
        <v>6</v>
      </c>
      <c r="L16" s="32" t="n">
        <v>0</v>
      </c>
      <c r="M16" s="31" t="inlineStr">
        <is>
          <t>Not Started</t>
        </is>
      </c>
    </row>
    <row r="17" ht="56" customHeight="1">
      <c r="A17" s="23" t="inlineStr">
        <is>
          <t>TSK-013</t>
        </is>
      </c>
      <c r="B17" s="24" t="inlineStr">
        <is>
          <t>Phase 3: Project &amp; Timeline Core</t>
        </is>
      </c>
      <c r="C17" s="24" t="inlineStr">
        <is>
          <t>Project Management</t>
        </is>
      </c>
      <c r="D17" s="24" t="inlineStr">
        <is>
          <t>Backend (Go)</t>
        </is>
      </c>
      <c r="E17" s="25" t="inlineStr">
        <is>
          <t>Build Project Creation &amp; Listing API with Timeline Validation</t>
        </is>
      </c>
      <c r="F17" s="24" t="inlineStr">
        <is>
          <t>Implement `POST /api/v1/projects` and `GET /api/v1/projects`. Fields: `code` (e.g. `PRJ-01`), `name`, `description`, `start_date`, `target_end_date`, `status`, `budget_hours`.</t>
        </is>
      </c>
      <c r="G17" s="24" t="inlineStr">
        <is>
          <t>Normalize all incoming dates to midnight UTC (`00:00:00Z`). Reject `target_end_date &lt; start_date`. Enforce unique project code.</t>
        </is>
      </c>
      <c r="H17" s="24" t="inlineStr">
        <is>
          <t>API creates projects, validates date order, supports pagination and status filtering.</t>
        </is>
      </c>
      <c r="I17" s="26" t="inlineStr">
        <is>
          <t>Backend Dev (Go)</t>
        </is>
      </c>
      <c r="J17" s="26" t="inlineStr">
        <is>
          <t>Critical</t>
        </is>
      </c>
      <c r="K17" s="27" t="n">
        <v>5</v>
      </c>
      <c r="L17" s="27" t="n">
        <v>0</v>
      </c>
      <c r="M17" s="26" t="inlineStr">
        <is>
          <t>Not Started</t>
        </is>
      </c>
    </row>
    <row r="18" ht="56" customHeight="1">
      <c r="A18" s="28" t="inlineStr">
        <is>
          <t>TSK-014</t>
        </is>
      </c>
      <c r="B18" s="29" t="inlineStr">
        <is>
          <t>Phase 3: Project &amp; Timeline Core</t>
        </is>
      </c>
      <c r="C18" s="29" t="inlineStr">
        <is>
          <t>Project Management</t>
        </is>
      </c>
      <c r="D18" s="29" t="inlineStr">
        <is>
          <t>Business Logic / Engine</t>
        </is>
      </c>
      <c r="E18" s="30" t="inlineStr">
        <is>
          <t>Implement Project Timeline Modification Guard (Protecting Existing Tasks)</t>
        </is>
      </c>
      <c r="F18" s="29" t="inlineStr">
        <is>
          <t>When `PUT /api/v1/projects/:id` changes `start_date` or `target_end_date`, query `tasks` in the same transaction to check `MIN(start_date)` and `MAX(due_date)`.</t>
        </is>
      </c>
      <c r="G18" s="29" t="inlineStr">
        <is>
          <t>If any existing task falls outside the new `[start_date, target_end_date]` window, abort update with HTTP 409 Conflict and return list of conflicting tasks.</t>
        </is>
      </c>
      <c r="H18" s="29" t="inlineStr">
        <is>
          <t>Integration test confirms project timeline cannot be narrowed past existing task dates unless tasks are rescheduled first.</t>
        </is>
      </c>
      <c r="I18" s="31" t="inlineStr">
        <is>
          <t>Backend Dev (Go)</t>
        </is>
      </c>
      <c r="J18" s="31" t="inlineStr">
        <is>
          <t>Critical</t>
        </is>
      </c>
      <c r="K18" s="32" t="n">
        <v>5</v>
      </c>
      <c r="L18" s="32" t="n">
        <v>0</v>
      </c>
      <c r="M18" s="31" t="inlineStr">
        <is>
          <t>Not Started</t>
        </is>
      </c>
    </row>
    <row r="19" ht="56" customHeight="1">
      <c r="A19" s="23" t="inlineStr">
        <is>
          <t>TSK-015</t>
        </is>
      </c>
      <c r="B19" s="24" t="inlineStr">
        <is>
          <t>Phase 3: Project &amp; Timeline Core</t>
        </is>
      </c>
      <c r="C19" s="24" t="inlineStr">
        <is>
          <t>Team &amp; Role Allocation</t>
        </is>
      </c>
      <c r="D19" s="24" t="inlineStr">
        <is>
          <t>Backend (Go)</t>
        </is>
      </c>
      <c r="E19" s="25" t="inlineStr">
        <is>
          <t>Build Project Member Allocation API (Assign Devs, QA, BA to Project)</t>
        </is>
      </c>
      <c r="F19" s="24" t="inlineStr">
        <is>
          <t>Implement `POST /api/v1/projects/:id/members`, `GET /api/v1/projects/:id/members`, `PATCH /api/v1/projects/:id/members/:userId`, `DELETE /api/v1/projects/:id/members/:userId`.</t>
        </is>
      </c>
      <c r="G19" s="24" t="inlineStr">
        <is>
          <t>Validate `allocation_pct` (1% to 100%) and effective dates (`joined_date &gt;= project.start_date`, `left_date &lt;= project.target_end_date`). Warn if user's total allocation across all concurrent active projects exceeds 100%.</t>
        </is>
      </c>
      <c r="H19" s="24" t="inlineStr">
        <is>
          <t>Can assign multiple Developers, QAs, and BAs to a project and query roster grouped by role (`DEVELOPER`, `QA`, `BA`).</t>
        </is>
      </c>
      <c r="I19" s="26" t="inlineStr">
        <is>
          <t>Backend Dev (Go)</t>
        </is>
      </c>
      <c r="J19" s="26" t="inlineStr">
        <is>
          <t>Critical</t>
        </is>
      </c>
      <c r="K19" s="27" t="n">
        <v>6</v>
      </c>
      <c r="L19" s="27" t="n">
        <v>0</v>
      </c>
      <c r="M19" s="26" t="inlineStr">
        <is>
          <t>Not Started</t>
        </is>
      </c>
    </row>
    <row r="20" ht="56" customHeight="1">
      <c r="A20" s="28" t="inlineStr">
        <is>
          <t>TSK-016</t>
        </is>
      </c>
      <c r="B20" s="29" t="inlineStr">
        <is>
          <t>Phase 3: Project &amp; Timeline Core</t>
        </is>
      </c>
      <c r="C20" s="29" t="inlineStr">
        <is>
          <t>Team &amp; Role Allocation</t>
        </is>
      </c>
      <c r="D20" s="29" t="inlineStr">
        <is>
          <t>Business Logic / Engine</t>
        </is>
      </c>
      <c r="E20" s="30" t="inlineStr">
        <is>
          <t>Build Working Calendar &amp; Net Role Capacity Calculator in Go</t>
        </is>
      </c>
      <c r="F20" s="29" t="inlineStr">
        <is>
          <t>Write pure Go service `CalendarService.CalculateWorkingDays(startDate, endDate, holidays)` and `CalculateTeamCapacity(projectID)` returning exact available hours for Developers, QA, and BAs over the project timeline.</t>
        </is>
      </c>
      <c r="G20" s="29" t="inlineStr">
        <is>
          <t>Correctly exclude Saturdays, Sundays, and rows in `company_holidays`. Handle member `joined_date` / `left_date` mid-project accurately.</t>
        </is>
      </c>
      <c r="H20" s="29" t="inlineStr">
        <is>
          <t>100% unit test coverage including leap years, mid-week holidays, and partial member allocations (e.g., 50% QA allocation).</t>
        </is>
      </c>
      <c r="I20" s="31" t="inlineStr">
        <is>
          <t>Backend Dev (Go)</t>
        </is>
      </c>
      <c r="J20" s="31" t="inlineStr">
        <is>
          <t>Critical</t>
        </is>
      </c>
      <c r="K20" s="32" t="n">
        <v>6</v>
      </c>
      <c r="L20" s="32" t="n">
        <v>0</v>
      </c>
      <c r="M20" s="31" t="inlineStr">
        <is>
          <t>Not Started</t>
        </is>
      </c>
    </row>
    <row r="21" ht="56" customHeight="1">
      <c r="A21" s="23" t="inlineStr">
        <is>
          <t>TSK-017</t>
        </is>
      </c>
      <c r="B21" s="24" t="inlineStr">
        <is>
          <t>Phase 4: Task Management</t>
        </is>
      </c>
      <c r="C21" s="24" t="inlineStr">
        <is>
          <t>Task Scheduling</t>
        </is>
      </c>
      <c r="D21" s="24" t="inlineStr">
        <is>
          <t>Backend (Go)</t>
        </is>
      </c>
      <c r="E21" s="25" t="inlineStr">
        <is>
          <t>Implement Task Creation &amp; Update API with Strict Project Timeline Range Check</t>
        </is>
      </c>
      <c r="F21" s="24" t="inlineStr">
        <is>
          <t>Build `POST /api/v1/projects/:id/tasks` and `PUT /api/v1/tasks/:taskId`. Require `title`, `required_role` (`DEVELOPER`, `QA`, `BA`), `estimated_hours`, `start_date`, `due_date`, and optional `assigned_to`.</t>
        </is>
      </c>
      <c r="G21" s="24" t="inlineStr">
        <is>
          <t>Enforce invariant inside DB transaction (`SELECT ... FOR SHARE` on project): `task.start_date &gt;= project.start_date` AND `task.due_date &lt;= project.target_end_date` AND `task.due_date &gt;= task.start_date`.</t>
        </is>
      </c>
      <c r="H21" s="24" t="inlineStr">
        <is>
          <t>Creating or updating a task outside the project's start/end date range is deterministically rejected with HTTP 422.</t>
        </is>
      </c>
      <c r="I21" s="26" t="inlineStr">
        <is>
          <t>Backend Dev (Go)</t>
        </is>
      </c>
      <c r="J21" s="26" t="inlineStr">
        <is>
          <t>Critical</t>
        </is>
      </c>
      <c r="K21" s="27" t="n">
        <v>7</v>
      </c>
      <c r="L21" s="27" t="n">
        <v>0</v>
      </c>
      <c r="M21" s="26" t="inlineStr">
        <is>
          <t>Not Started</t>
        </is>
      </c>
    </row>
    <row r="22" ht="56" customHeight="1">
      <c r="A22" s="28" t="inlineStr">
        <is>
          <t>TSK-018</t>
        </is>
      </c>
      <c r="B22" s="29" t="inlineStr">
        <is>
          <t>Phase 4: Task Management</t>
        </is>
      </c>
      <c r="C22" s="29" t="inlineStr">
        <is>
          <t>Task Scheduling</t>
        </is>
      </c>
      <c r="D22" s="29" t="inlineStr">
        <is>
          <t>Business Logic / Engine</t>
        </is>
      </c>
      <c r="E22" s="30" t="inlineStr">
        <is>
          <t>Implement Assignee Role &amp; Active Membership Validation</t>
        </is>
      </c>
      <c r="F22" s="29" t="inlineStr">
        <is>
          <t>When assigning a task (`assigned_to = user_id`), verify in `project_members` that the user is assigned to the project, is active during `[task.start_date, task.due_date]`, and matches `task.required_role` (or allow cross-role override flag).</t>
        </is>
      </c>
      <c r="G22" s="29" t="inlineStr">
        <is>
          <t>Prevent assigning a task to a developer whose `left_date` on the project is earlier than `task.due_date`.</t>
        </is>
      </c>
      <c r="H22" s="29" t="inlineStr">
        <is>
          <t>Unit &amp; integration tests verify unassigned users or out-of-range members cannot be assigned tasks.</t>
        </is>
      </c>
      <c r="I22" s="31" t="inlineStr">
        <is>
          <t>Backend Dev (Go)</t>
        </is>
      </c>
      <c r="J22" s="31" t="inlineStr">
        <is>
          <t>High</t>
        </is>
      </c>
      <c r="K22" s="32" t="n">
        <v>5</v>
      </c>
      <c r="L22" s="32" t="n">
        <v>0</v>
      </c>
      <c r="M22" s="31" t="inlineStr">
        <is>
          <t>Not Started</t>
        </is>
      </c>
    </row>
    <row r="23" ht="56" customHeight="1">
      <c r="A23" s="23" t="inlineStr">
        <is>
          <t>TSK-019</t>
        </is>
      </c>
      <c r="B23" s="24" t="inlineStr">
        <is>
          <t>Phase 4: Task Management</t>
        </is>
      </c>
      <c r="C23" s="24" t="inlineStr">
        <is>
          <t>Task Scheduling</t>
        </is>
      </c>
      <c r="D23" s="24" t="inlineStr">
        <is>
          <t>Business Logic / Engine</t>
        </is>
      </c>
      <c r="E23" s="25" t="inlineStr">
        <is>
          <t>Build Task Dependency Graph (Finish-to-Start) &amp; Cycle Detection Engine</t>
        </is>
      </c>
      <c r="F23" s="24" t="inlineStr">
        <is>
          <t>Implement `POST /api/v1/tasks/:id/dependencies` linking `depends_on_task_id`. Run Depth-First Search (DFS) cycle detector before commit. Validate that successor `start_date &gt;= predecessor.due_date`.</t>
        </is>
      </c>
      <c r="G23" s="24" t="inlineStr">
        <is>
          <t>Block self-dependency (`task_id == depends_on_task_id`), cross-project dependency, and circular loops (`A -&gt; B -&gt; C -&gt; A`).</t>
        </is>
      </c>
      <c r="H23" s="24" t="inlineStr">
        <is>
          <t>Graph cycle detection unit tests pass on complex 10-node DAGs and reject any cycle.</t>
        </is>
      </c>
      <c r="I23" s="26" t="inlineStr">
        <is>
          <t>Backend Dev (Go)</t>
        </is>
      </c>
      <c r="J23" s="26" t="inlineStr">
        <is>
          <t>High</t>
        </is>
      </c>
      <c r="K23" s="27" t="n">
        <v>6.5</v>
      </c>
      <c r="L23" s="27" t="n">
        <v>0</v>
      </c>
      <c r="M23" s="26" t="inlineStr">
        <is>
          <t>Not Started</t>
        </is>
      </c>
    </row>
    <row r="24" ht="56" customHeight="1">
      <c r="A24" s="28" t="inlineStr">
        <is>
          <t>TSK-020</t>
        </is>
      </c>
      <c r="B24" s="29" t="inlineStr">
        <is>
          <t>Phase 4: Task Management</t>
        </is>
      </c>
      <c r="C24" s="29" t="inlineStr">
        <is>
          <t>Task Scheduling</t>
        </is>
      </c>
      <c r="D24" s="29" t="inlineStr">
        <is>
          <t>Business Logic / Engine</t>
        </is>
      </c>
      <c r="E24" s="30" t="inlineStr">
        <is>
          <t>Implement Developer Daily Workload &amp; Over-Allocation Detector</t>
        </is>
      </c>
      <c r="F24" s="29" t="inlineStr">
        <is>
          <t>For any assigned task, spread `estimated_hours` evenly across working days in `[task.start_date, task.due_date]`. Sum daily required hours across all tasks assigned to that Developer/QA/BA.</t>
        </is>
      </c>
      <c r="G24" s="29" t="inlineStr">
        <is>
          <t>If a developer's required daily hours on any working day exceed their `daily_capacity_hrs` (e.g., &gt; 8h/day), return `is_overallocated: true` with the exact dates and excess hours.</t>
        </is>
      </c>
      <c r="H24" s="29" t="inlineStr">
        <is>
          <t>API returns accurate daily workload heatmap data per developer/QA/BA.</t>
        </is>
      </c>
      <c r="I24" s="31" t="inlineStr">
        <is>
          <t>Backend Dev (Go)</t>
        </is>
      </c>
      <c r="J24" s="31" t="inlineStr">
        <is>
          <t>High</t>
        </is>
      </c>
      <c r="K24" s="32" t="n">
        <v>6</v>
      </c>
      <c r="L24" s="32" t="n">
        <v>0</v>
      </c>
      <c r="M24" s="31" t="inlineStr">
        <is>
          <t>Not Started</t>
        </is>
      </c>
    </row>
    <row r="25" ht="56" customHeight="1">
      <c r="A25" s="23" t="inlineStr">
        <is>
          <t>TSK-021</t>
        </is>
      </c>
      <c r="B25" s="24" t="inlineStr">
        <is>
          <t>Phase 4: Task Management</t>
        </is>
      </c>
      <c r="C25" s="24" t="inlineStr">
        <is>
          <t>Task Workflow</t>
        </is>
      </c>
      <c r="D25" s="24" t="inlineStr">
        <is>
          <t>Backend (Go)</t>
        </is>
      </c>
      <c r="E25" s="25" t="inlineStr">
        <is>
          <t>Build Task Status State Machine &amp; BA -&gt; Dev -&gt; QA Hand-off Workflow</t>
        </is>
      </c>
      <c r="F25" s="24" t="inlineStr">
        <is>
          <t>Implement `PATCH /api/v1/tasks/:id/status` supporting transitions: `BACKLOG -&gt; TODO -&gt; IN_PROGRESS -&gt; CODE_REVIEW -&gt; IN_QA -&gt; DONE` (plus `BLOCKED`). Record status transition history in `task_audit_logs`.</t>
        </is>
      </c>
      <c r="G25" s="24" t="inlineStr">
        <is>
          <t>Prevent marking a parent task `DONE` if any subtask is still open; require QA role (or PM) to transition from `IN_QA` to `DONE`.</t>
        </is>
      </c>
      <c r="H25" s="24" t="inlineStr">
        <is>
          <t>State machine transition tests verify valid and invalid transitions and audit trail creation.</t>
        </is>
      </c>
      <c r="I25" s="26" t="inlineStr">
        <is>
          <t>Backend Dev (Go)</t>
        </is>
      </c>
      <c r="J25" s="26" t="inlineStr">
        <is>
          <t>Medium</t>
        </is>
      </c>
      <c r="K25" s="27" t="n">
        <v>5.5</v>
      </c>
      <c r="L25" s="27" t="n">
        <v>0</v>
      </c>
      <c r="M25" s="26" t="inlineStr">
        <is>
          <t>Not Started</t>
        </is>
      </c>
    </row>
    <row r="26" ht="56" customHeight="1">
      <c r="A26" s="28" t="inlineStr">
        <is>
          <t>TSK-022</t>
        </is>
      </c>
      <c r="B26" s="29" t="inlineStr">
        <is>
          <t>Phase 5: Deadline Feasibility Engine</t>
        </is>
      </c>
      <c r="C26" s="29" t="inlineStr">
        <is>
          <t>Feasibility &amp; Forecasting</t>
        </is>
      </c>
      <c r="D26" s="29" t="inlineStr">
        <is>
          <t>Business Logic / Engine</t>
        </is>
      </c>
      <c r="E26" s="30" t="inlineStr">
        <is>
          <t>Build Role-Level Capacity vs. Remaining Effort Feasibility Engine</t>
        </is>
      </c>
      <c r="F26" s="29" t="inlineStr">
        <is>
          <t>Create `FeasibilityService.EvaluateProject(ctx, projectID)`: compute for each role (`DEVELOPER`, `QA`, `BA`) and overall: `RemainingEstHours = SUM(MAX(0, estimated_hours - logged_hours))` for incomplete tasks vs. `AvailableRoleHours` from `MAX(Today, project.start_date)` to `project.target_end_date`.</t>
        </is>
      </c>
      <c r="G26" s="29" t="inlineStr">
        <is>
          <t>Handle tasks where `logged_hours &gt; estimated_hours` without producing negative remaining effort (clamp to 0 or use remaining estimate field).</t>
        </is>
      </c>
      <c r="H26" s="29" t="inlineStr">
        <is>
          <t>Returns exact surplus/deficit hours per role (e.g., Dev: +18h buffer, QA: -12h deficit -&gt; `CAN_MEET_DEADLINE = false`).</t>
        </is>
      </c>
      <c r="I26" s="31" t="inlineStr">
        <is>
          <t>Backend Dev (Go)</t>
        </is>
      </c>
      <c r="J26" s="31" t="inlineStr">
        <is>
          <t>Critical</t>
        </is>
      </c>
      <c r="K26" s="32" t="n">
        <v>8</v>
      </c>
      <c r="L26" s="32" t="n">
        <v>0</v>
      </c>
      <c r="M26" s="31" t="inlineStr">
        <is>
          <t>Not Started</t>
        </is>
      </c>
    </row>
    <row r="27" ht="56" customHeight="1">
      <c r="A27" s="23" t="inlineStr">
        <is>
          <t>TSK-023</t>
        </is>
      </c>
      <c r="B27" s="24" t="inlineStr">
        <is>
          <t>Phase 5: Deadline Feasibility Engine</t>
        </is>
      </c>
      <c r="C27" s="24" t="inlineStr">
        <is>
          <t>Feasibility &amp; Forecasting</t>
        </is>
      </c>
      <c r="D27" s="24" t="inlineStr">
        <is>
          <t>Business Logic / Engine</t>
        </is>
      </c>
      <c r="E27" s="25" t="inlineStr">
        <is>
          <t>Build Individual Developer Deadline Feasibility &amp; Bottleneck Analyzer</t>
        </is>
      </c>
      <c r="F27" s="24" t="inlineStr">
        <is>
          <t>Within `FeasibilityService`, evaluate each individual team member: compare `MemberRemainingTaskHours` against `MemberRemainingAvailableHours` before `project.target_end_date` and before each `task.due_date`.</t>
        </is>
      </c>
      <c r="G27" s="24" t="inlineStr">
        <is>
          <t>Even if total team capacity &gt; total task hours, flag `AT_RISK` if one specific developer has 80 hours of tasks due in 5 working days (40h capacity) while another developer is idle.</t>
        </is>
      </c>
      <c r="H27" s="24" t="inlineStr">
        <is>
          <t>Identifies person-level bottlenecks and recommends task rebalancing.</t>
        </is>
      </c>
      <c r="I27" s="26" t="inlineStr">
        <is>
          <t>Backend Dev (Go)</t>
        </is>
      </c>
      <c r="J27" s="26" t="inlineStr">
        <is>
          <t>Critical</t>
        </is>
      </c>
      <c r="K27" s="27" t="n">
        <v>7</v>
      </c>
      <c r="L27" s="27" t="n">
        <v>0</v>
      </c>
      <c r="M27" s="26" t="inlineStr">
        <is>
          <t>Not Started</t>
        </is>
      </c>
    </row>
    <row r="28" ht="56" customHeight="1">
      <c r="A28" s="28" t="inlineStr">
        <is>
          <t>TSK-024</t>
        </is>
      </c>
      <c r="B28" s="29" t="inlineStr">
        <is>
          <t>Phase 5: Deadline Feasibility Engine</t>
        </is>
      </c>
      <c r="C28" s="29" t="inlineStr">
        <is>
          <t>Feasibility &amp; Forecasting</t>
        </is>
      </c>
      <c r="D28" s="29" t="inlineStr">
        <is>
          <t>Business Logic / Engine</t>
        </is>
      </c>
      <c r="E28" s="30" t="inlineStr">
        <is>
          <t>Implement Critical Path Method (CPM) &amp; Projected Completion Date Calculator</t>
        </is>
      </c>
      <c r="F28" s="29" t="inlineStr">
        <is>
          <t>Build forward-pass / backward-pass topological sort over `tasks` and `task_dependencies` combined with resource capacity velocity to compute `projected_completion_date` and `days_ahead_or_behind_deadline`.</t>
        </is>
      </c>
      <c r="G28" s="29" t="inlineStr">
        <is>
          <t>Account for non-working weekends and holidays when projecting exact calendar completion date.</t>
        </is>
      </c>
      <c r="H28" s="29" t="inlineStr">
        <is>
          <t>Unit tests verify `projected_completion_date` shifts accurately when task estimates increase or dependencies are added.</t>
        </is>
      </c>
      <c r="I28" s="31" t="inlineStr">
        <is>
          <t>Backend Dev (Go)</t>
        </is>
      </c>
      <c r="J28" s="31" t="inlineStr">
        <is>
          <t>Critical</t>
        </is>
      </c>
      <c r="K28" s="32" t="n">
        <v>7.5</v>
      </c>
      <c r="L28" s="32" t="n">
        <v>0</v>
      </c>
      <c r="M28" s="31" t="inlineStr">
        <is>
          <t>Not Started</t>
        </is>
      </c>
    </row>
    <row r="29" ht="56" customHeight="1">
      <c r="A29" s="23" t="inlineStr">
        <is>
          <t>TSK-025</t>
        </is>
      </c>
      <c r="B29" s="24" t="inlineStr">
        <is>
          <t>Phase 5: Deadline Feasibility Engine</t>
        </is>
      </c>
      <c r="C29" s="24" t="inlineStr">
        <is>
          <t>Feasibility &amp; Forecasting</t>
        </is>
      </c>
      <c r="D29" s="24" t="inlineStr">
        <is>
          <t>Backend (Go)</t>
        </is>
      </c>
      <c r="E29" s="25" t="inlineStr">
        <is>
          <t>Expose Deadline Feasibility &amp; 'What-If' Simulation Endpoints</t>
        </is>
      </c>
      <c r="F29" s="24" t="inlineStr">
        <is>
          <t>Create `GET /api/v1/projects/:id/feasibility` and `POST /api/v1/projects/:id/feasibility/simulate` (accepting hypothetical added Devs/QAs/BAs, overtime hours, or deadline extensions).</t>
        </is>
      </c>
      <c r="G29" s="24" t="inlineStr">
        <is>
          <t>Ensure simulation runs on cloned in-memory structs with zero database writes.</t>
        </is>
      </c>
      <c r="H29" s="24" t="inlineStr">
        <is>
          <t>Endpoints respond in &lt; 50ms and provide clear JSON breakdown for UI gauges and alerts.</t>
        </is>
      </c>
      <c r="I29" s="26" t="inlineStr">
        <is>
          <t>Backend Dev (Go)</t>
        </is>
      </c>
      <c r="J29" s="26" t="inlineStr">
        <is>
          <t>High</t>
        </is>
      </c>
      <c r="K29" s="27" t="n">
        <v>5</v>
      </c>
      <c r="L29" s="27" t="n">
        <v>0</v>
      </c>
      <c r="M29" s="26" t="inlineStr">
        <is>
          <t>Not Started</t>
        </is>
      </c>
    </row>
    <row r="30" ht="56" customHeight="1">
      <c r="A30" s="28" t="inlineStr">
        <is>
          <t>TSK-026</t>
        </is>
      </c>
      <c r="B30" s="29" t="inlineStr">
        <is>
          <t>Phase 6: Time Tracking Engine</t>
        </is>
      </c>
      <c r="C30" s="29" t="inlineStr">
        <is>
          <t>Time Tracking</t>
        </is>
      </c>
      <c r="D30" s="29" t="inlineStr">
        <is>
          <t>Backend (Go)</t>
        </is>
      </c>
      <c r="E30" s="30" t="inlineStr">
        <is>
          <t>Implement Concurrency-Safe Live Timer (`Start`, `Stop`, `Active`) in Go</t>
        </is>
      </c>
      <c r="F30" s="29" t="inlineStr">
        <is>
          <t>Build `POST /api/v1/tasks/:id/timer/start`, `POST /api/v1/timer/stop`, `GET /api/v1/timer/active`. Store `start_time = NOW() AT TIME ZONE 'UTC'` with `end_time = NULL`.</t>
        </is>
      </c>
      <c r="G30" s="29" t="inlineStr">
        <is>
          <t>Use PostgreSQL partial unique index (`WHERE end_time IS NULL`) + transactional check so double-clicking 'Start Timer' or parallel API calls never create two active timers.</t>
        </is>
      </c>
      <c r="H30" s="29" t="inlineStr">
        <is>
          <t>`go test -race` with 20 concurrent start requests confirms strictly 1 active timer created.</t>
        </is>
      </c>
      <c r="I30" s="31" t="inlineStr">
        <is>
          <t>Backend Dev (Go)</t>
        </is>
      </c>
      <c r="J30" s="31" t="inlineStr">
        <is>
          <t>Critical</t>
        </is>
      </c>
      <c r="K30" s="32" t="n">
        <v>6.5</v>
      </c>
      <c r="L30" s="32" t="n">
        <v>0</v>
      </c>
      <c r="M30" s="31" t="inlineStr">
        <is>
          <t>Not Started</t>
        </is>
      </c>
    </row>
    <row r="31" ht="56" customHeight="1">
      <c r="A31" s="23" t="inlineStr">
        <is>
          <t>TSK-027</t>
        </is>
      </c>
      <c r="B31" s="24" t="inlineStr">
        <is>
          <t>Phase 6: Time Tracking Engine</t>
        </is>
      </c>
      <c r="C31" s="24" t="inlineStr">
        <is>
          <t>Time Tracking</t>
        </is>
      </c>
      <c r="D31" s="24" t="inlineStr">
        <is>
          <t>Backend (Go)</t>
        </is>
      </c>
      <c r="E31" s="25" t="inlineStr">
        <is>
          <t>Implement Manual Time Entry CRUD with Time-Range Overlap Prevention</t>
        </is>
      </c>
      <c r="F31" s="24" t="inlineStr">
        <is>
          <t>Build `POST /api/v1/tasks/:id/timelogs`, `PUT /api/v1/timelogs/:id`, `DELETE /api/v1/timelogs/:id`, `GET /api/v1/projects/:id/timelogs`. Support both `start_time`/`end_time` and direct `duration_minutes` logging.</t>
        </is>
      </c>
      <c r="G31" s="24" t="inlineStr">
        <is>
          <t>Reject negative or zero durations, future dates (`work_date &gt; CURRENT_DATE`), logs &gt; 24h in a single day, and overlapping time intervals for the same user.</t>
        </is>
      </c>
      <c r="H31" s="24" t="inlineStr">
        <is>
          <t>Overlap detection and boundary checks verified via automated integration tests.</t>
        </is>
      </c>
      <c r="I31" s="26" t="inlineStr">
        <is>
          <t>Backend Dev (Go)</t>
        </is>
      </c>
      <c r="J31" s="26" t="inlineStr">
        <is>
          <t>Critical</t>
        </is>
      </c>
      <c r="K31" s="27" t="n">
        <v>6.5</v>
      </c>
      <c r="L31" s="27" t="n">
        <v>0</v>
      </c>
      <c r="M31" s="26" t="inlineStr">
        <is>
          <t>Not Started</t>
        </is>
      </c>
    </row>
    <row r="32" ht="56" customHeight="1">
      <c r="A32" s="28" t="inlineStr">
        <is>
          <t>TSK-028</t>
        </is>
      </c>
      <c r="B32" s="29" t="inlineStr">
        <is>
          <t>Phase 6: Time Tracking Engine</t>
        </is>
      </c>
      <c r="C32" s="29" t="inlineStr">
        <is>
          <t>Time Tracking</t>
        </is>
      </c>
      <c r="D32" s="29" t="inlineStr">
        <is>
          <t>Database (PostgreSQL)</t>
        </is>
      </c>
      <c r="E32" s="30" t="inlineStr">
        <is>
          <t>Implement Transactional Task `logged_hours` Rollup &amp; Feasibility Sync</t>
        </is>
      </c>
      <c r="F32" s="29" t="inlineStr">
        <is>
          <t>Whenever a `time_logs` row is stopped, inserted, updated, or deleted, atomically recalculate `tasks.logged_hours = COALESCE(SUM(duration_minutes)/60.0, 0)` within the same SQL transaction.</t>
        </is>
      </c>
      <c r="G32" s="29" t="inlineStr">
        <is>
          <t>Prevent floating-point rounding drift by storing `duration_seconds` or `duration_minutes` as `INT` and `logged_hours` as `NUMERIC(10,2)`.</t>
        </is>
      </c>
      <c r="H32" s="29" t="inlineStr">
        <is>
          <t>Deleting or editing 100 time logs in parallel leaves `tasks.logged_hours` 100% consistent with `SUM(time_logs)`.</t>
        </is>
      </c>
      <c r="I32" s="31" t="inlineStr">
        <is>
          <t>Backend Dev (Go)</t>
        </is>
      </c>
      <c r="J32" s="31" t="inlineStr">
        <is>
          <t>Critical</t>
        </is>
      </c>
      <c r="K32" s="32" t="n">
        <v>5</v>
      </c>
      <c r="L32" s="32" t="n">
        <v>0</v>
      </c>
      <c r="M32" s="31" t="inlineStr">
        <is>
          <t>Not Started</t>
        </is>
      </c>
    </row>
    <row r="33" ht="56" customHeight="1">
      <c r="A33" s="23" t="inlineStr">
        <is>
          <t>TSK-029</t>
        </is>
      </c>
      <c r="B33" s="24" t="inlineStr">
        <is>
          <t>Phase 6: Time Tracking Engine</t>
        </is>
      </c>
      <c r="C33" s="24" t="inlineStr">
        <is>
          <t>Time Tracking</t>
        </is>
      </c>
      <c r="D33" s="24" t="inlineStr">
        <is>
          <t>Backend (Go)</t>
        </is>
      </c>
      <c r="E33" s="25" t="inlineStr">
        <is>
          <t>Build Weekly Timesheet Aggregation &amp; Burn-Down Analytics API</t>
        </is>
      </c>
      <c r="F33" s="24" t="inlineStr">
        <is>
          <t>Create `GET /api/v1/timesheets/weekly?user_id=&amp;week_start=` and `GET /api/v1/projects/:id/burndown` returning daily ideal remaining hours vs. actual remaining hours over the project timeline.</t>
        </is>
      </c>
      <c r="G33" s="24" t="inlineStr">
        <is>
          <t>Ensure timezone offset query parameter (`?tz=Asia/Colombo`) groups daily logs accurately according to the user's local calendar day.</t>
        </is>
      </c>
      <c r="H33" s="24" t="inlineStr">
        <is>
          <t>Burn-down and weekly timesheet totals match individual log entries across timezone boundaries.</t>
        </is>
      </c>
      <c r="I33" s="26" t="inlineStr">
        <is>
          <t>Backend Dev (Go)</t>
        </is>
      </c>
      <c r="J33" s="26" t="inlineStr">
        <is>
          <t>High</t>
        </is>
      </c>
      <c r="K33" s="27" t="n">
        <v>5.5</v>
      </c>
      <c r="L33" s="27" t="n">
        <v>0</v>
      </c>
      <c r="M33" s="26" t="inlineStr">
        <is>
          <t>Not Started</t>
        </is>
      </c>
    </row>
    <row r="34" ht="56" customHeight="1">
      <c r="A34" s="28" t="inlineStr">
        <is>
          <t>TSK-030</t>
        </is>
      </c>
      <c r="B34" s="29" t="inlineStr">
        <is>
          <t>Phase 7: Frontend Application</t>
        </is>
      </c>
      <c r="C34" s="29" t="inlineStr">
        <is>
          <t>Frontend Core</t>
        </is>
      </c>
      <c r="D34" s="29" t="inlineStr">
        <is>
          <t>Frontend UI</t>
        </is>
      </c>
      <c r="E34" s="30" t="inlineStr">
        <is>
          <t>Scaffold React/Next.js + TypeScript App, API Client &amp; Auth Guards</t>
        </is>
      </c>
      <c r="F34" s="29" t="inlineStr">
        <is>
          <t>Set up TypeScript strict mode, Tailwind CSS, TanStack Query, Zustand state store, and Axios instance with automatic JWT refresh retry queue.</t>
        </is>
      </c>
      <c r="G34" s="29" t="inlineStr">
        <is>
          <t>Prevent multiple simultaneous `/auth/refresh` calls when several API requests return 401 concurrently (use mutex/promise queue in interceptor).</t>
        </is>
      </c>
      <c r="H34" s="29" t="inlineStr">
        <is>
          <t>Login, session persistence, protected route redirection, and role-based menu rendering work without console errors.</t>
        </is>
      </c>
      <c r="I34" s="31" t="inlineStr">
        <is>
          <t>Frontend Dev</t>
        </is>
      </c>
      <c r="J34" s="31" t="inlineStr">
        <is>
          <t>Critical</t>
        </is>
      </c>
      <c r="K34" s="32" t="n">
        <v>6</v>
      </c>
      <c r="L34" s="32" t="n">
        <v>0</v>
      </c>
      <c r="M34" s="31" t="inlineStr">
        <is>
          <t>Not Started</t>
        </is>
      </c>
    </row>
    <row r="35" ht="56" customHeight="1">
      <c r="A35" s="23" t="inlineStr">
        <is>
          <t>TSK-031</t>
        </is>
      </c>
      <c r="B35" s="24" t="inlineStr">
        <is>
          <t>Phase 7: Frontend Application</t>
        </is>
      </c>
      <c r="C35" s="24" t="inlineStr">
        <is>
          <t>Team &amp; Role UI</t>
        </is>
      </c>
      <c r="D35" s="24" t="inlineStr">
        <is>
          <t>Frontend UI</t>
        </is>
      </c>
      <c r="E35" s="25" t="inlineStr">
        <is>
          <t>Build Company Directory &amp; Project Team Roster UI (Dev / QA / BA Cards)</t>
        </is>
      </c>
      <c r="F35" s="24" t="inlineStr">
        <is>
          <t>Create pages to manage users and assign them to projects as Developers, QA Engineers, or Business Analysts with allocation % and daily capacity hours.</t>
        </is>
      </c>
      <c r="G35" s="24" t="inlineStr">
        <is>
          <t>Visually badge users by role (`DEV`, `QA`, `BA`, `PM`) and show warning badge if a member is allocated &gt;100% across overlapping projects.</t>
        </is>
      </c>
      <c r="H35" s="24" t="inlineStr">
        <is>
          <t>PM can add/edit/remove project members and immediately see updated Total Dev/QA/BA capacity hours.</t>
        </is>
      </c>
      <c r="I35" s="26" t="inlineStr">
        <is>
          <t>Frontend Dev</t>
        </is>
      </c>
      <c r="J35" s="26" t="inlineStr">
        <is>
          <t>High</t>
        </is>
      </c>
      <c r="K35" s="27" t="n">
        <v>6.5</v>
      </c>
      <c r="L35" s="27" t="n">
        <v>0</v>
      </c>
      <c r="M35" s="26" t="inlineStr">
        <is>
          <t>Not Started</t>
        </is>
      </c>
    </row>
    <row r="36" ht="56" customHeight="1">
      <c r="A36" s="28" t="inlineStr">
        <is>
          <t>TSK-032</t>
        </is>
      </c>
      <c r="B36" s="29" t="inlineStr">
        <is>
          <t>Phase 7: Frontend Application</t>
        </is>
      </c>
      <c r="C36" s="29" t="inlineStr">
        <is>
          <t>Project &amp; Task UI</t>
        </is>
      </c>
      <c r="D36" s="29" t="inlineStr">
        <is>
          <t>Frontend UI</t>
        </is>
      </c>
      <c r="E36" s="30" t="inlineStr">
        <is>
          <t>Build Project Creation Modal, Timeline View (Gantt) &amp; Kanban Task Board</t>
        </is>
      </c>
      <c r="F36" s="29" t="inlineStr">
        <is>
          <t>Create Project dashboard with Gantt timeline bar showing project range `[start_date, target_end_date]` and task bars inside it, plus drag-and-drop Kanban board (`Todo`, `In Progress`, `In QA`, `Done`).</t>
        </is>
      </c>
      <c r="G36" s="29" t="inlineStr">
        <is>
          <t>Hard-restrict the Task Creation DatePicker `minDate = project.start_date` and `maxDate = project.target_end_date` so invalid dates cannot even be picked in UI.</t>
        </is>
      </c>
      <c r="H36" s="29" t="inlineStr">
        <is>
          <t>Tasks can be created, assigned to Dev/QA/BA, linked with dependencies, and dragged across statuses.</t>
        </is>
      </c>
      <c r="I36" s="31" t="inlineStr">
        <is>
          <t>Frontend Dev</t>
        </is>
      </c>
      <c r="J36" s="31" t="inlineStr">
        <is>
          <t>Critical</t>
        </is>
      </c>
      <c r="K36" s="32" t="n">
        <v>10</v>
      </c>
      <c r="L36" s="32" t="n">
        <v>0</v>
      </c>
      <c r="M36" s="31" t="inlineStr">
        <is>
          <t>Not Started</t>
        </is>
      </c>
    </row>
    <row r="37" ht="56" customHeight="1">
      <c r="A37" s="23" t="inlineStr">
        <is>
          <t>TSK-033</t>
        </is>
      </c>
      <c r="B37" s="24" t="inlineStr">
        <is>
          <t>Phase 7: Frontend Application</t>
        </is>
      </c>
      <c r="C37" s="24" t="inlineStr">
        <is>
          <t>Deadline Feasibility UI</t>
        </is>
      </c>
      <c r="D37" s="24" t="inlineStr">
        <is>
          <t>Frontend UI</t>
        </is>
      </c>
      <c r="E37" s="25" t="inlineStr">
        <is>
          <t>Build Real-Time 'Can We Meet The Deadline?' Feasibility Dashboard &amp; Simulator</t>
        </is>
      </c>
      <c r="F37" s="24" t="inlineStr">
        <is>
          <t>Build interactive Deadline Health panel on the Project page displaying: (1) Overall Verdict (`ON TRACK` / `AT RISK` / `CANNOT MEET DEADLINE`), (2) Projected Completion Date vs. Target Deadline, (3) Capacity vs. Remaining Task Hours bars for Dev, QA, and BA, (4) Per-Developer Workload table.</t>
        </is>
      </c>
      <c r="G37" s="24" t="inlineStr">
        <is>
          <t>Automatically invalidate and refetch feasibility query via TanStack Query whenever any task estimate, date, assignee, or time log changes.</t>
        </is>
      </c>
      <c r="H37" s="24" t="inlineStr">
        <is>
          <t>User sees instant visual feedback on whether the deadline can be met whenever tasks or team members are modified.</t>
        </is>
      </c>
      <c r="I37" s="26" t="inlineStr">
        <is>
          <t>Frontend Dev</t>
        </is>
      </c>
      <c r="J37" s="26" t="inlineStr">
        <is>
          <t>Critical</t>
        </is>
      </c>
      <c r="K37" s="27" t="n">
        <v>8.5</v>
      </c>
      <c r="L37" s="27" t="n">
        <v>0</v>
      </c>
      <c r="M37" s="26" t="inlineStr">
        <is>
          <t>Not Started</t>
        </is>
      </c>
    </row>
    <row r="38" ht="56" customHeight="1">
      <c r="A38" s="28" t="inlineStr">
        <is>
          <t>TSK-034</t>
        </is>
      </c>
      <c r="B38" s="29" t="inlineStr">
        <is>
          <t>Phase 7: Frontend Application</t>
        </is>
      </c>
      <c r="C38" s="29" t="inlineStr">
        <is>
          <t>Time Tracking UI</t>
        </is>
      </c>
      <c r="D38" s="29" t="inlineStr">
        <is>
          <t>Frontend UI</t>
        </is>
      </c>
      <c r="E38" s="30" t="inlineStr">
        <is>
          <t>Build Global Header Live Timer Bar &amp; Weekly Timesheet Logging Interface</t>
        </is>
      </c>
      <c r="F38" s="29" t="inlineStr">
        <is>
          <t>Build persistent top-bar timer (`Start` / `Stop` button on any task card + ticking `HH:MM:SS` indicator) and a Weekly Timesheet view with manual time entry modal and Actual vs. Estimated progress bars on every task.</t>
        </is>
      </c>
      <c r="G38" s="29" t="inlineStr">
        <is>
          <t>Calculate ticking timer elapsed seconds using `Date.now() - Date.parse(activeTimer.start_time)` so backgrounded browser tabs never lose accuracy.</t>
        </is>
      </c>
      <c r="H38" s="29" t="inlineStr">
        <is>
          <t>Developers/QAs/BAs can start/stop timers from any screen and log manual hours with instant task progress updates.</t>
        </is>
      </c>
      <c r="I38" s="31" t="inlineStr">
        <is>
          <t>Frontend Dev</t>
        </is>
      </c>
      <c r="J38" s="31" t="inlineStr">
        <is>
          <t>Critical</t>
        </is>
      </c>
      <c r="K38" s="32" t="n">
        <v>8</v>
      </c>
      <c r="L38" s="32" t="n">
        <v>0</v>
      </c>
      <c r="M38" s="31" t="inlineStr">
        <is>
          <t>Not Started</t>
        </is>
      </c>
    </row>
    <row r="39" ht="56" customHeight="1">
      <c r="A39" s="23" t="inlineStr">
        <is>
          <t>TSK-035</t>
        </is>
      </c>
      <c r="B39" s="24" t="inlineStr">
        <is>
          <t>Phase 8: QA, Hardening &amp; Launch</t>
        </is>
      </c>
      <c r="C39" s="24" t="inlineStr">
        <is>
          <t>Quality Assurance</t>
        </is>
      </c>
      <c r="D39" s="24" t="inlineStr">
        <is>
          <t>QA &amp; Automated Testing</t>
        </is>
      </c>
      <c r="E39" s="25" t="inlineStr">
        <is>
          <t>Write Go Integration Test Suite with `testcontainers-go` (Real PostgreSQL)</t>
        </is>
      </c>
      <c r="F39" s="24" t="inlineStr">
        <is>
          <t>Create automated integration tests testing every repository and service against a real Dockerized PostgreSQL instance: project timeline boundaries, role capacity math, deadline feasibility accuracy, and timer race conditions.</t>
        </is>
      </c>
      <c r="G39" s="24" t="inlineStr">
        <is>
          <t>Test all boundary dates (same-day project, leap day Feb 29, tasks spanning weekends/holidays, zero remaining capacity).</t>
        </is>
      </c>
      <c r="H39" s="24" t="inlineStr">
        <is>
          <t>`go test -v -race ./...` passes 100% with &gt;85% statement coverage on `internal/service` and `internal/repository`.</t>
        </is>
      </c>
      <c r="I39" s="26" t="inlineStr">
        <is>
          <t>QA Engineer</t>
        </is>
      </c>
      <c r="J39" s="26" t="inlineStr">
        <is>
          <t>Critical</t>
        </is>
      </c>
      <c r="K39" s="27" t="n">
        <v>8</v>
      </c>
      <c r="L39" s="27" t="n">
        <v>0</v>
      </c>
      <c r="M39" s="26" t="inlineStr">
        <is>
          <t>Not Started</t>
        </is>
      </c>
    </row>
    <row r="40" ht="56" customHeight="1">
      <c r="A40" s="28" t="inlineStr">
        <is>
          <t>TSK-036</t>
        </is>
      </c>
      <c r="B40" s="29" t="inlineStr">
        <is>
          <t>Phase 8: QA, Hardening &amp; Launch</t>
        </is>
      </c>
      <c r="C40" s="29" t="inlineStr">
        <is>
          <t>Quality Assurance</t>
        </is>
      </c>
      <c r="D40" s="29" t="inlineStr">
        <is>
          <t>QA &amp; Automated Testing</t>
        </is>
      </c>
      <c r="E40" s="30" t="inlineStr">
        <is>
          <t>Build End-to-End Playwright Test Suite for Full User Journey</t>
        </is>
      </c>
      <c r="F40" s="29" t="inlineStr">
        <is>
          <t>Automate E2E browser tests: Admin creates project -&gt; Assigns BA, 2 Devs, 1 QA -&gt; Creates tasks within timeline -&gt; Verifies 'On Track' deadline status -&gt; Adds 100h task -&gt; Verifies status turns 'Cannot Meet Deadline' -&gt; Logs time -&gt; Completes task.</t>
        </is>
      </c>
      <c r="G40" s="29" t="inlineStr">
        <is>
          <t>Assert zero uncaught page errors or console warnings during the entire Playwright test run.</t>
        </is>
      </c>
      <c r="H40" s="29" t="inlineStr">
        <is>
          <t>All E2E specs pass reliably in headless Chromium.</t>
        </is>
      </c>
      <c r="I40" s="31" t="inlineStr">
        <is>
          <t>QA Engineer</t>
        </is>
      </c>
      <c r="J40" s="31" t="inlineStr">
        <is>
          <t>High</t>
        </is>
      </c>
      <c r="K40" s="32" t="n">
        <v>6.5</v>
      </c>
      <c r="L40" s="32" t="n">
        <v>0</v>
      </c>
      <c r="M40" s="31" t="inlineStr">
        <is>
          <t>Not Started</t>
        </is>
      </c>
    </row>
    <row r="41" ht="56" customHeight="1">
      <c r="A41" s="23" t="inlineStr">
        <is>
          <t>TSK-037</t>
        </is>
      </c>
      <c r="B41" s="24" t="inlineStr">
        <is>
          <t>Phase 8: QA, Hardening &amp; Launch</t>
        </is>
      </c>
      <c r="C41" s="24" t="inlineStr">
        <is>
          <t>DevOps &amp; Production</t>
        </is>
      </c>
      <c r="D41" s="24" t="inlineStr">
        <is>
          <t>DevOps &amp; CI/CD</t>
        </is>
      </c>
      <c r="E41" s="25" t="inlineStr">
        <is>
          <t>Configure GitHub Actions CI/CD Pipeline, Docker Multi-Stage Build &amp; Health Probes</t>
        </is>
      </c>
      <c r="F41" s="24" t="inlineStr">
        <is>
          <t>Create `.github/workflows/ci.yml` running `golangci-lint`, `govulncheck`, `go test -race`, frontend build, and Playwright tests on every PR. Build production `Dockerfile` with graceful `SIGTERM` shutdown.</t>
        </is>
      </c>
      <c r="G41" s="24" t="inlineStr">
        <is>
          <t>Block PR merge if any test, linter check, or race detector check fails.</t>
        </is>
      </c>
      <c r="H41" s="24" t="inlineStr">
        <is>
          <t>Full stack deploys with single `docker compose -f docker-compose.prod.yml up -d` command with 0 errors.</t>
        </is>
      </c>
      <c r="I41" s="26" t="inlineStr">
        <is>
          <t>DevOps</t>
        </is>
      </c>
      <c r="J41" s="26" t="inlineStr">
        <is>
          <t>High</t>
        </is>
      </c>
      <c r="K41" s="27" t="n">
        <v>5.5</v>
      </c>
      <c r="L41" s="27" t="n">
        <v>0</v>
      </c>
      <c r="M41" s="26" t="inlineStr">
        <is>
          <t>Not Started</t>
        </is>
      </c>
    </row>
    <row r="42" ht="26" customHeight="1">
      <c r="A42" s="33" t="inlineStr">
        <is>
          <t>TOTAL</t>
        </is>
      </c>
      <c r="B42" s="34" t="n"/>
      <c r="C42" s="34" t="n"/>
      <c r="D42" s="34" t="n"/>
      <c r="E42" s="34" t="inlineStr">
        <is>
          <t>Total Granular Tasks: 37 Engineering Tasks</t>
        </is>
      </c>
      <c r="F42" s="34" t="n"/>
      <c r="G42" s="34" t="n"/>
      <c r="H42" s="34" t="n"/>
      <c r="I42" s="34" t="n"/>
      <c r="J42" s="34" t="n"/>
      <c r="K42" s="35">
        <f>SUM(K5:K41)</f>
        <v/>
      </c>
      <c r="L42" s="35">
        <f>SUM(L5:L41)</f>
        <v/>
      </c>
      <c r="M42" s="33">
        <f>COUNTIF(M5:M41,"Completed")&amp;"/"&amp;COUNTA(A5:A41)&amp;" Done"</f>
        <v/>
      </c>
    </row>
  </sheetData>
  <autoFilter ref="A4:M41"/>
  <mergeCells count="2">
    <mergeCell ref="A2:M2"/>
    <mergeCell ref="A1:M1"/>
  </mergeCells>
  <conditionalFormatting sqref="J5:J41">
    <cfRule type="cellIs" priority="1" operator="equal" dxfId="4">
      <formula>"Critical"</formula>
    </cfRule>
    <cfRule type="cellIs" priority="2" operator="equal" dxfId="5">
      <formula>"High"</formula>
    </cfRule>
    <cfRule type="cellIs" priority="3" operator="equal" dxfId="2">
      <formula>"Medium"</formula>
    </cfRule>
  </conditionalFormatting>
  <conditionalFormatting sqref="M5:M41">
    <cfRule type="cellIs" priority="4" operator="equal" dxfId="0">
      <formula>"Completed"</formula>
    </cfRule>
    <cfRule type="cellIs" priority="5" operator="equal" dxfId="0">
      <formula>"QA Passed"</formula>
    </cfRule>
    <cfRule type="cellIs" priority="6" operator="equal" dxfId="1">
      <formula>"In Progress"</formula>
    </cfRule>
    <cfRule type="cellIs" priority="7" operator="equal" dxfId="3">
      <formula>"Not Started"</formula>
    </cfRule>
  </conditionalFormatting>
  <dataValidations count="3">
    <dataValidation sqref="I5:I41" showDropDown="0" showInputMessage="0" showErrorMessage="0" allowBlank="0" type="list">
      <formula1>"Backend Dev (Go),Frontend Dev,QA Engineer,Business Analyst,DevOps"</formula1>
    </dataValidation>
    <dataValidation sqref="J5:J41" showDropDown="0" showInputMessage="0" showErrorMessage="0" allowBlank="0" type="list">
      <formula1>"Critical,High,Medium,Low"</formula1>
    </dataValidation>
    <dataValidation sqref="M5:M41" showDropDown="0" showInputMessage="0" showErrorMessage="0" allowBlank="0" type="list">
      <formula1>"Not Started,In Progress,Code Review,QA Passed,Completed"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showGridLines="1" workbookViewId="0">
      <selection activeCell="A1" sqref="A1"/>
    </sheetView>
  </sheetViews>
  <sheetFormatPr baseColWidth="8" defaultRowHeight="15"/>
  <cols>
    <col width="18" customWidth="1" min="1" max="1"/>
    <col width="24" customWidth="1" min="2" max="2"/>
    <col width="48" customWidth="1" min="3" max="3"/>
    <col width="30" customWidth="1" min="4" max="4"/>
    <col width="42" customWidth="1" min="5" max="5"/>
    <col width="38" customWidth="1" min="6" max="6"/>
  </cols>
  <sheetData>
    <row r="1" ht="30" customHeight="1">
      <c r="A1" s="1" t="inlineStr">
        <is>
          <t>GO BACKEND ARCHITECTURE, POSTGRESQL SCHEMA &amp; DEADLINE FEASIBILITY ALGORITHM</t>
        </is>
      </c>
    </row>
    <row r="2" ht="20" customHeight="1">
      <c r="A2" s="2" t="inlineStr">
        <is>
          <t>Reference Blueprint for Tables, Constraints, REST API Routes &amp; Mathematical Formulas</t>
        </is>
      </c>
    </row>
    <row r="4" ht="24" customHeight="1">
      <c r="A4" s="3" t="inlineStr">
        <is>
          <t>1. POSTGRESQL CORE DATABASE TABLES &amp; ZERO-BUG CONSTRAINTS</t>
        </is>
      </c>
    </row>
    <row r="5" ht="25" customHeight="1">
      <c r="A5" s="9" t="inlineStr">
        <is>
          <t>Table Name</t>
        </is>
      </c>
      <c r="B5" s="9" t="inlineStr">
        <is>
          <t>Primary Key</t>
        </is>
      </c>
      <c r="C5" s="9" t="inlineStr">
        <is>
          <t>Core Columns &amp; Types</t>
        </is>
      </c>
      <c r="D5" s="9" t="inlineStr">
        <is>
          <t>Foreign Keys &amp; Indexes</t>
        </is>
      </c>
      <c r="E5" s="9" t="inlineStr">
        <is>
          <t>Mandatory Zero-Bug DB Constraints</t>
        </is>
      </c>
      <c r="F5" s="9" t="inlineStr">
        <is>
          <t>Purpose in System</t>
        </is>
      </c>
    </row>
    <row r="6" ht="48" customHeight="1">
      <c r="A6" s="36" t="inlineStr">
        <is>
          <t>users</t>
        </is>
      </c>
      <c r="B6" s="37" t="inlineStr">
        <is>
          <t>id (UUID)</t>
        </is>
      </c>
      <c r="C6" s="37" t="inlineStr">
        <is>
          <t>email (CITEXT), password_hash (TEXT), full_name (VARCHAR), primary_role (VARCHAR: DEV/QA/BA/PM/ADMIN), default_daily_hours (NUMERIC(4,2) DEFAULT 8.00), is_active (BOOL)</t>
        </is>
      </c>
      <c r="D6" s="24" t="inlineStr">
        <is>
          <t>UNIQUE(email), IDX(primary_role)</t>
        </is>
      </c>
      <c r="E6" s="37" t="inlineStr">
        <is>
          <t>CHECK (default_daily_hours &gt; 0 AND default_daily_hours &lt;= 24)</t>
        </is>
      </c>
      <c r="F6" s="24" t="inlineStr">
        <is>
          <t>Stores all company employees and their default daily working capacity.</t>
        </is>
      </c>
    </row>
    <row r="7" ht="48" customHeight="1">
      <c r="A7" s="38" t="inlineStr">
        <is>
          <t>projects</t>
        </is>
      </c>
      <c r="B7" s="39" t="inlineStr">
        <is>
          <t>id (UUID)</t>
        </is>
      </c>
      <c r="C7" s="39" t="inlineStr">
        <is>
          <t>code (VARCHAR UNIQUE), name (VARCHAR), description (TEXT), start_date (DATE), target_end_date (DATE), budget_hours (NUMERIC(10,2)), status (VARCHAR), created_by (UUID)</t>
        </is>
      </c>
      <c r="D7" s="29" t="inlineStr">
        <is>
          <t>FK(created_by -&gt; users.id), IDX(status, start_date, target_end_date)</t>
        </is>
      </c>
      <c r="E7" s="39" t="inlineStr">
        <is>
          <t>CHECK (target_end_date &gt;= start_date), CHECK (budget_hours &gt;= 0)</t>
        </is>
      </c>
      <c r="F7" s="29" t="inlineStr">
        <is>
          <t>Defines the master project container and strict outer date boundaries.</t>
        </is>
      </c>
    </row>
    <row r="8" ht="48" customHeight="1">
      <c r="A8" s="36" t="inlineStr">
        <is>
          <t>project_members</t>
        </is>
      </c>
      <c r="B8" s="37" t="inlineStr">
        <is>
          <t>id (UUID)</t>
        </is>
      </c>
      <c r="C8" s="37" t="inlineStr">
        <is>
          <t>project_id (UUID), user_id (UUID), project_role (ENUM: 'DEVELOPER','QA','BA','PM'), allocation_pct (INT DEFAULT 100), effective_daily_hours (NUMERIC(4,2)), joined_date (DATE), left_date (DATE)</t>
        </is>
      </c>
      <c r="D8" s="24" t="inlineStr">
        <is>
          <t>FK(project_id -&gt; projects.id), FK(user_id -&gt; users.id), UNIQUE(project_id, user_id, project_role)</t>
        </is>
      </c>
      <c r="E8" s="37" t="inlineStr">
        <is>
          <t>CHECK (allocation_pct BETWEEN 1 AND 100), CHECK (left_date IS NULL OR left_date &gt;= joined_date)</t>
        </is>
      </c>
      <c r="F8" s="24" t="inlineStr">
        <is>
          <t>Maps who are the Developers, QAs, and BAs on each project and their capacity.</t>
        </is>
      </c>
    </row>
    <row r="9" ht="48" customHeight="1">
      <c r="A9" s="38" t="inlineStr">
        <is>
          <t>tasks</t>
        </is>
      </c>
      <c r="B9" s="39" t="inlineStr">
        <is>
          <t>id (UUID)</t>
        </is>
      </c>
      <c r="C9" s="39" t="inlineStr">
        <is>
          <t>project_id (UUID), parent_task_id (UUID NULL), title (VARCHAR), assigned_to (UUID NULL), required_role (ENUM: 'DEVELOPER','QA','BA'), status (VARCHAR), priority (VARCHAR), estimated_hours (NUMERIC(8,2)), logged_hours (NUMERIC(8,2) DEFAULT 0), start_date (DATE), due_date (DATE)</t>
        </is>
      </c>
      <c r="D9" s="29" t="inlineStr">
        <is>
          <t>FK(project_id -&gt; projects.id), FK(assigned_to -&gt; users.id), IDX(project_id, assigned_to, status)</t>
        </is>
      </c>
      <c r="E9" s="39" t="inlineStr">
        <is>
          <t>CHECK (due_date &gt;= start_date), CHECK (estimated_hours &gt; 0), CHECK (logged_hours &gt;= 0) + Trigger/Service check within Project range</t>
        </is>
      </c>
      <c r="F9" s="29" t="inlineStr">
        <is>
          <t>Stores actionable tasks constrained within project timeline with Est vs. Actual hours.</t>
        </is>
      </c>
    </row>
    <row r="10" ht="48" customHeight="1">
      <c r="A10" s="36" t="inlineStr">
        <is>
          <t>task_dependencies</t>
        </is>
      </c>
      <c r="B10" s="37" t="inlineStr">
        <is>
          <t>id (UUID)</t>
        </is>
      </c>
      <c r="C10" s="37" t="inlineStr">
        <is>
          <t>project_id (UUID), task_id (UUID), depends_on_task_id (UUID), dependency_type (VARCHAR DEFAULT 'FS')</t>
        </is>
      </c>
      <c r="D10" s="24" t="inlineStr">
        <is>
          <t>FK(task_id -&gt; tasks.id), FK(depends_on_task_id -&gt; tasks.id), UNIQUE(task_id, depends_on_task_id)</t>
        </is>
      </c>
      <c r="E10" s="37" t="inlineStr">
        <is>
          <t>CHECK (task_id &lt;&gt; depends_on_task_id) + Go DFS Cycle Detection before insert</t>
        </is>
      </c>
      <c r="F10" s="24" t="inlineStr">
        <is>
          <t>Enforces Finish-to-Start task order for Critical Path &amp; Deadline calculation.</t>
        </is>
      </c>
    </row>
    <row r="11" ht="48" customHeight="1">
      <c r="A11" s="38" t="inlineStr">
        <is>
          <t>time_logs</t>
        </is>
      </c>
      <c r="B11" s="39" t="inlineStr">
        <is>
          <t>id (UUID)</t>
        </is>
      </c>
      <c r="C11" s="39" t="inlineStr">
        <is>
          <t>task_id (UUID), user_id (UUID), start_time (TIMESTAMPTZ), end_time (TIMESTAMPTZ NULL), duration_minutes (INT), description (TEXT), is_manual (BOOL), created_at (TIMESTAMPTZ)</t>
        </is>
      </c>
      <c r="D11" s="29" t="inlineStr">
        <is>
          <t>FK(task_id -&gt; tasks.id), FK(user_id -&gt; users.id), IDX(user_id, start_time)</t>
        </is>
      </c>
      <c r="E11" s="39" t="inlineStr">
        <is>
          <t>CREATE UNIQUE INDEX idx_one_active_timer ON time_logs(user_id) WHERE end_time IS NULL; CHECK (end_time IS NULL OR end_time &gt;= start_time)</t>
        </is>
      </c>
      <c r="F11" s="29" t="inlineStr">
        <is>
          <t>Tracks live running timers and manual time entries with zero concurrency conflicts.</t>
        </is>
      </c>
    </row>
    <row r="12" ht="48" customHeight="1">
      <c r="A12" s="36" t="inlineStr">
        <is>
          <t>company_holidays</t>
        </is>
      </c>
      <c r="B12" s="37" t="inlineStr">
        <is>
          <t>id (UUID)</t>
        </is>
      </c>
      <c r="C12" s="37" t="inlineStr">
        <is>
          <t>holiday_date (DATE UNIQUE), name (VARCHAR), is_recurring (BOOL)</t>
        </is>
      </c>
      <c r="D12" s="24" t="inlineStr">
        <is>
          <t>UNIQUE(holiday_date)</t>
        </is>
      </c>
      <c r="E12" s="37" t="inlineStr">
        <is>
          <t>CHECK (holiday_date IS NOT NULL)</t>
        </is>
      </c>
      <c r="F12" s="24" t="inlineStr">
        <is>
          <t>Excluded from working days when calculating whether tasks can meet project deadline.</t>
        </is>
      </c>
    </row>
    <row r="15" ht="24" customHeight="1">
      <c r="A15" s="3" t="inlineStr">
        <is>
          <t>2. DEADLINE FEASIBILITY ENGINE — MATHEMATICAL MODEL (IMPLEMENTED IN GO `internal/service/feasibility.go`)</t>
        </is>
      </c>
    </row>
    <row r="16" ht="25" customHeight="1">
      <c r="A16" s="9" t="inlineStr">
        <is>
          <t>Step</t>
        </is>
      </c>
      <c r="B16" s="9" t="inlineStr">
        <is>
          <t>Metric Name</t>
        </is>
      </c>
      <c r="C16" s="9" t="inlineStr">
        <is>
          <t>Exact Formula / Logic in Go</t>
        </is>
      </c>
      <c r="D16" s="9" t="inlineStr">
        <is>
          <t>Role / Granularity</t>
        </is>
      </c>
      <c r="E16" s="9" t="inlineStr">
        <is>
          <t>Risk Threshold Rule</t>
        </is>
      </c>
      <c r="F16" s="9" t="inlineStr">
        <is>
          <t>Actionable Output to User</t>
        </is>
      </c>
    </row>
    <row r="17" ht="48" customHeight="1">
      <c r="A17" s="25" t="inlineStr">
        <is>
          <t>Formula 1</t>
        </is>
      </c>
      <c r="B17" s="25" t="inlineStr">
        <is>
          <t>Remaining Working Days (D_rem)</t>
        </is>
      </c>
      <c r="C17" s="37" t="inlineStr">
        <is>
          <t>Count business days in [MAX(Today_UTC, Project.StartDate), Project.TargetEndDate] WHERE weekday NOT IN (Sat, Sun) AND date NOT IN company_holidays.</t>
        </is>
      </c>
      <c r="D17" s="24" t="inlineStr">
        <is>
          <t>Project-Wide &amp; Per-Member</t>
        </is>
      </c>
      <c r="E17" s="24" t="inlineStr">
        <is>
          <t>If D_rem &lt;= 0 and open tasks &gt; 0 -&gt; Status = OVERDUE</t>
        </is>
      </c>
      <c r="F17" s="24" t="inlineStr">
        <is>
          <t>Shows exact net working days left until project deadline.</t>
        </is>
      </c>
    </row>
    <row r="18" ht="48" customHeight="1">
      <c r="A18" s="30" t="inlineStr">
        <is>
          <t>Formula 2</t>
        </is>
      </c>
      <c r="B18" s="30" t="inlineStr">
        <is>
          <t>Net Available Capacity by Role (Cap_Role)</t>
        </is>
      </c>
      <c r="C18" s="39" t="inlineStr">
        <is>
          <t>For each Role in (DEVELOPER, QA, BA): SUM over active members of (Member.WorkingDaysInWindow * Member.DefaultDailyHours * (Member.AllocationPct / 100.0)).</t>
        </is>
      </c>
      <c r="D18" s="29" t="inlineStr">
        <is>
          <t>Per Role (Dev / QA / BA)</t>
        </is>
      </c>
      <c r="E18" s="29" t="inlineStr">
        <is>
          <t>Accounts for part-time allocation and mid-project join/leave dates</t>
        </is>
      </c>
      <c r="F18" s="29" t="inlineStr">
        <is>
          <t>Displays e.g. 'Available Dev Capacity: 320 hrs | Available QA Capacity: 80 hrs'.</t>
        </is>
      </c>
    </row>
    <row r="19" ht="48" customHeight="1">
      <c r="A19" s="25" t="inlineStr">
        <is>
          <t>Formula 3</t>
        </is>
      </c>
      <c r="B19" s="25" t="inlineStr">
        <is>
          <t>Remaining Task Effort by Role (Rem_Role)</t>
        </is>
      </c>
      <c r="C19" s="37" t="inlineStr">
        <is>
          <t>For each incomplete Task (status != DONE): Task_Rem = MAX(0, Task.EstimatedHours - Task.LoggedHours). Group and sum by Task.RequiredRole.</t>
        </is>
      </c>
      <c r="D19" s="24" t="inlineStr">
        <is>
          <t>Per Role &amp; Per Assignee</t>
        </is>
      </c>
      <c r="E19" s="24" t="inlineStr">
        <is>
          <t>If LoggedHours &gt; EstimatedHours, prompts user to update remaining estimate</t>
        </is>
      </c>
      <c r="F19" s="24" t="inlineStr">
        <is>
          <t>Displays e.g. 'Remaining Dev Task Work: 290 hrs | Remaining QA Work: 95 hrs'.</t>
        </is>
      </c>
    </row>
    <row r="20" ht="48" customHeight="1">
      <c r="A20" s="30" t="inlineStr">
        <is>
          <t>Formula 4</t>
        </is>
      </c>
      <c r="B20" s="30" t="inlineStr">
        <is>
          <t>Role Feasibility Ratio &amp; Buffer (Buf_Role)</t>
        </is>
      </c>
      <c r="C20" s="39" t="inlineStr">
        <is>
          <t>Buf_Role = Cap_Role - Rem_Role; Utilization_Pct = (Rem_Role / NULLIF(Cap_Role, 0)) * 100.</t>
        </is>
      </c>
      <c r="D20" s="29" t="inlineStr">
        <is>
          <t>Per Role (Dev / QA / BA)</t>
        </is>
      </c>
      <c r="E20" s="29" t="inlineStr">
        <is>
          <t>Green (ON_TRACK): Util &lt;= 85%
Amber (AT_RISK): 85% &lt; Util &lt;= 100%
Red (CANNOT_MEET): Util &gt; 100%</t>
        </is>
      </c>
      <c r="F20" s="29" t="inlineStr">
        <is>
          <t>Flags even if total project hours look fine but QA or Dev role specifically is overloaded.</t>
        </is>
      </c>
    </row>
    <row r="21" ht="48" customHeight="1">
      <c r="A21" s="25" t="inlineStr">
        <is>
          <t>Formula 5</t>
        </is>
      </c>
      <c r="B21" s="25" t="inlineStr">
        <is>
          <t>Individual Developer Overload Check</t>
        </is>
      </c>
      <c r="C21" s="37" t="inlineStr">
        <is>
          <t>For each Member M: Rem_Member = SUM(Task_Rem where assigned_to = M). Compare against Cap_Member before both Task.DueDate and Project.TargetEndDate.</t>
        </is>
      </c>
      <c r="D21" s="24" t="inlineStr">
        <is>
          <t>Per Individual Developer / QA / BA</t>
        </is>
      </c>
      <c r="E21" s="24" t="inlineStr">
        <is>
          <t>If Rem_Member &gt; Cap_Member -&gt; Member is Over-Allocated</t>
        </is>
      </c>
      <c r="F21" s="24" t="inlineStr">
        <is>
          <t>Highlights specific overloaded developer (e.g., 'Dev Kasun has 56h work in 40h available window').</t>
        </is>
      </c>
    </row>
    <row r="22" ht="48" customHeight="1">
      <c r="A22" s="30" t="inlineStr">
        <is>
          <t>Formula 6</t>
        </is>
      </c>
      <c r="B22" s="30" t="inlineStr">
        <is>
          <t>Critical Path Duration (CPM_Finish)</t>
        </is>
      </c>
      <c r="C22" s="39" t="inlineStr">
        <is>
          <t>Topological sort of task DAG: EarlyStart(T) = MAX(EarlyFinish(Preds)); EarlyFinish(T) = EarlyStart(T) + ceil(Task_Rem / AssigneeDailyHours) business days.</t>
        </is>
      </c>
      <c r="D22" s="29" t="inlineStr">
        <is>
          <t>Task Dependency Chain</t>
        </is>
      </c>
      <c r="E22" s="29" t="inlineStr">
        <is>
          <t>If max(EarlyFinish) &gt; Project.TargetEndDate -&gt; Dependency chain exceeds deadline</t>
        </is>
      </c>
      <c r="F22" s="29" t="inlineStr">
        <is>
          <t>Computes exact Projected Completion Date and days ahead/behind target deadline.</t>
        </is>
      </c>
    </row>
  </sheetData>
  <mergeCells count="4">
    <mergeCell ref="A2:F2"/>
    <mergeCell ref="A1:F1"/>
    <mergeCell ref="A4:F4"/>
    <mergeCell ref="A15:F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showGridLines="1" workbookViewId="0">
      <selection activeCell="A1" sqref="A1"/>
    </sheetView>
  </sheetViews>
  <sheetFormatPr baseColWidth="8" defaultRowHeight="15"/>
  <cols>
    <col width="12" customWidth="1" min="1" max="1"/>
    <col width="22" customWidth="1" min="2" max="2"/>
    <col width="42" customWidth="1" min="3" max="3"/>
    <col width="48" customWidth="1" min="4" max="4"/>
    <col width="42" customWidth="1" min="5" max="5"/>
    <col width="14" customWidth="1" min="6" max="6"/>
    <col width="14" customWidth="1" min="7" max="7"/>
  </cols>
  <sheetData>
    <row r="1" ht="30" customHeight="1">
      <c r="A1" s="1" t="inlineStr">
        <is>
          <t>ZERO-BUG ENGINEERING &amp; QA VERIFICATION MATRIX</t>
        </is>
      </c>
    </row>
    <row r="2" ht="20" customHeight="1">
      <c r="A2" s="2" t="inlineStr">
        <is>
          <t>Mandatory Edge-Case Checks to Guarantee 0 Production Bugs Across Go Backend, PostgreSQL &amp; UI</t>
        </is>
      </c>
    </row>
    <row r="4" ht="28" customHeight="1">
      <c r="A4" s="9" t="inlineStr">
        <is>
          <t>Check ID</t>
        </is>
      </c>
      <c r="B4" s="9" t="inlineStr">
        <is>
          <t>Category</t>
        </is>
      </c>
      <c r="C4" s="9" t="inlineStr">
        <is>
          <t>Bug Scenario / Risk Vector</t>
        </is>
      </c>
      <c r="D4" s="9" t="inlineStr">
        <is>
          <t>Prevention Mechanism in Go / PostgreSQL / UI</t>
        </is>
      </c>
      <c r="E4" s="9" t="inlineStr">
        <is>
          <t>Automated Test Command / Method</t>
        </is>
      </c>
      <c r="F4" s="9" t="inlineStr">
        <is>
          <t>Severity</t>
        </is>
      </c>
      <c r="G4" s="9" t="inlineStr">
        <is>
          <t>Verified?</t>
        </is>
      </c>
    </row>
    <row r="5" ht="48" customHeight="1">
      <c r="A5" s="23" t="inlineStr">
        <is>
          <t>QA-01</t>
        </is>
      </c>
      <c r="B5" s="25" t="inlineStr">
        <is>
          <t>Timeline Integrity</t>
        </is>
      </c>
      <c r="C5" s="24" t="inlineStr">
        <is>
          <t>Task created with start_date before Project start_date or due_date after Project target_end_date.</t>
        </is>
      </c>
      <c r="D5" s="24" t="inlineStr">
        <is>
          <t>1. Go service validates `task.StartDate &gt;= proj.StartDate &amp;&amp; task.DueDate &lt;= proj.TargetEndDate` inside `SERIALIZABLE` / `FOR SHARE` tx.
2. UI date-picker sets `min` and `max` to project range.</t>
        </is>
      </c>
      <c r="E5" s="37" t="inlineStr">
        <is>
          <t>`go test -v ./internal/service -run TestTaskTimelineBounds`</t>
        </is>
      </c>
      <c r="F5" s="26" t="inlineStr">
        <is>
          <t>Critical</t>
        </is>
      </c>
      <c r="G5" s="26" t="inlineStr">
        <is>
          <t>Pending</t>
        </is>
      </c>
    </row>
    <row r="6" ht="48" customHeight="1">
      <c r="A6" s="28" t="inlineStr">
        <is>
          <t>QA-02</t>
        </is>
      </c>
      <c r="B6" s="30" t="inlineStr">
        <is>
          <t>Timeline Integrity</t>
        </is>
      </c>
      <c r="C6" s="29" t="inlineStr">
        <is>
          <t>Project manager shrinks Project target_end_date while existing tasks have due_dates beyond the new end date.</t>
        </is>
      </c>
      <c r="D6" s="29" t="inlineStr">
        <is>
          <t>Project Update handler queries `MAX(due_date)` and `MIN(start_date)` of child tasks; returns HTTP 409 Conflict with list of offending tasks.</t>
        </is>
      </c>
      <c r="E6" s="39" t="inlineStr">
        <is>
          <t>`go test -v ./internal/service -run TestProjectShrinkConflict`</t>
        </is>
      </c>
      <c r="F6" s="31" t="inlineStr">
        <is>
          <t>Critical</t>
        </is>
      </c>
      <c r="G6" s="31" t="inlineStr">
        <is>
          <t>Pending</t>
        </is>
      </c>
    </row>
    <row r="7" ht="48" customHeight="1">
      <c r="A7" s="23" t="inlineStr">
        <is>
          <t>QA-03</t>
        </is>
      </c>
      <c r="B7" s="25" t="inlineStr">
        <is>
          <t>Role &amp; Assignment</t>
        </is>
      </c>
      <c r="C7" s="24" t="inlineStr">
        <is>
          <t>Task requiring 'QA' role is assigned to a user who is not a member of the project or has left the project.</t>
        </is>
      </c>
      <c r="D7" s="24" t="inlineStr">
        <is>
          <t>Service validates `(project_id, user_id)` exists in `project_members` and `task.due_date &lt;= COALESCE(member.left_date, proj.target_end_date)`.</t>
        </is>
      </c>
      <c r="E7" s="37" t="inlineStr">
        <is>
          <t>`go test -v ./internal/service -run TestTaskAssigneeValidation`</t>
        </is>
      </c>
      <c r="F7" s="26" t="inlineStr">
        <is>
          <t>High</t>
        </is>
      </c>
      <c r="G7" s="26" t="inlineStr">
        <is>
          <t>Pending</t>
        </is>
      </c>
    </row>
    <row r="8" ht="48" customHeight="1">
      <c r="A8" s="28" t="inlineStr">
        <is>
          <t>QA-04</t>
        </is>
      </c>
      <c r="B8" s="30" t="inlineStr">
        <is>
          <t>Dependency Graph</t>
        </is>
      </c>
      <c r="C8" s="29" t="inlineStr">
        <is>
          <t>Circular task dependency (`Task A -&gt; Task B -&gt; Task C -&gt; Task A`) causes infinite loop in Deadline Feasibility calculator.</t>
        </is>
      </c>
      <c r="D8" s="29" t="inlineStr">
        <is>
          <t>Run Depth-First Search (DFS) cycle detection in Go before inserting row into `task_dependencies`.</t>
        </is>
      </c>
      <c r="E8" s="39" t="inlineStr">
        <is>
          <t>`go test -v ./internal/service -run TestDependencyCycleDetection`</t>
        </is>
      </c>
      <c r="F8" s="31" t="inlineStr">
        <is>
          <t>Critical</t>
        </is>
      </c>
      <c r="G8" s="31" t="inlineStr">
        <is>
          <t>Pending</t>
        </is>
      </c>
    </row>
    <row r="9" ht="48" customHeight="1">
      <c r="A9" s="23" t="inlineStr">
        <is>
          <t>QA-05</t>
        </is>
      </c>
      <c r="B9" s="25" t="inlineStr">
        <is>
          <t>Time Tracking Concurrency</t>
        </is>
      </c>
      <c r="C9" s="24" t="inlineStr">
        <is>
          <t>Developer double-clicks 'Start Timer' or sends concurrent requests, creating 2 simultaneous running timers.</t>
        </is>
      </c>
      <c r="D9" s="24" t="inlineStr">
        <is>
          <t>PostgreSQL partial unique index: `CREATE UNIQUE INDEX idx_single_running_timer ON time_logs(user_id) WHERE end_time IS NULL`.</t>
        </is>
      </c>
      <c r="E9" s="37" t="inlineStr">
        <is>
          <t>`go test -race -v ./internal/repository -run TestConcurrentTimerStart`</t>
        </is>
      </c>
      <c r="F9" s="26" t="inlineStr">
        <is>
          <t>Critical</t>
        </is>
      </c>
      <c r="G9" s="26" t="inlineStr">
        <is>
          <t>Pending</t>
        </is>
      </c>
    </row>
    <row r="10" ht="48" customHeight="1">
      <c r="A10" s="28" t="inlineStr">
        <is>
          <t>QA-06</t>
        </is>
      </c>
      <c r="B10" s="30" t="inlineStr">
        <is>
          <t>Time Tracking Math</t>
        </is>
      </c>
      <c r="C10" s="29" t="inlineStr">
        <is>
          <t>Floating-point rounding errors cause `tasks.logged_hours` to drift from the sum of `time_logs` after edits/deletes.</t>
        </is>
      </c>
      <c r="D10" s="29" t="inlineStr">
        <is>
          <t>Store raw durations as integer seconds/minutes (`INT`) and recompute `logged_hours = ROUND(SUM(duration_minutes)/60.0, 2)` inside the same SQL transaction.</t>
        </is>
      </c>
      <c r="E10" s="39" t="inlineStr">
        <is>
          <t>`go test -v ./internal/service -run TestTimeLogRollupConsistency`</t>
        </is>
      </c>
      <c r="F10" s="31" t="inlineStr">
        <is>
          <t>High</t>
        </is>
      </c>
      <c r="G10" s="31" t="inlineStr">
        <is>
          <t>Pending</t>
        </is>
      </c>
    </row>
    <row r="11" ht="48" customHeight="1">
      <c r="A11" s="23" t="inlineStr">
        <is>
          <t>QA-07</t>
        </is>
      </c>
      <c r="B11" s="25" t="inlineStr">
        <is>
          <t>Time Tracking Overlap</t>
        </is>
      </c>
      <c r="C11" s="24" t="inlineStr">
        <is>
          <t>User logs manual time entry from 10:00 to 12:00 and another from 11:00 to 13:00 on the same day.</t>
        </is>
      </c>
      <c r="D11" s="24" t="inlineStr">
        <is>
          <t>Query overlapping ranges `(start_time, end_time) OVERLAPS ($1, $2)` for the same `user_id` before insert/update.</t>
        </is>
      </c>
      <c r="E11" s="37" t="inlineStr">
        <is>
          <t>`go test -v ./internal/service -run TestManualTimeOverlapRejection`</t>
        </is>
      </c>
      <c r="F11" s="26" t="inlineStr">
        <is>
          <t>High</t>
        </is>
      </c>
      <c r="G11" s="26" t="inlineStr">
        <is>
          <t>Pending</t>
        </is>
      </c>
    </row>
    <row r="12" ht="48" customHeight="1">
      <c r="A12" s="28" t="inlineStr">
        <is>
          <t>QA-08</t>
        </is>
      </c>
      <c r="B12" s="30" t="inlineStr">
        <is>
          <t>Deadline Feasibility</t>
        </is>
      </c>
      <c r="C12" s="29" t="inlineStr">
        <is>
          <t>Team has 200 total hours available and 150 hours of tasks, so project looks 'On Track', but 1 Developer has 120 hours assigned in 1 week.</t>
        </is>
      </c>
      <c r="D12" s="29" t="inlineStr">
        <is>
          <t>Feasibility engine evaluates BOTH Role-level pool capacity AND Individual Member capacity before `task.due_date` and `project.target_end_date`.</t>
        </is>
      </c>
      <c r="E12" s="39" t="inlineStr">
        <is>
          <t>`go test -v ./internal/service -run TestIndividualDeveloperBottleneck`</t>
        </is>
      </c>
      <c r="F12" s="31" t="inlineStr">
        <is>
          <t>Critical</t>
        </is>
      </c>
      <c r="G12" s="31" t="inlineStr">
        <is>
          <t>Pending</t>
        </is>
      </c>
    </row>
    <row r="13" ht="48" customHeight="1">
      <c r="A13" s="23" t="inlineStr">
        <is>
          <t>QA-09</t>
        </is>
      </c>
      <c r="B13" s="25" t="inlineStr">
        <is>
          <t>Timezone &amp; Dates</t>
        </is>
      </c>
      <c r="C13" s="24" t="inlineStr">
        <is>
          <t>Server in UTC and user in UTC+05:30 see tasks shifting by 1 day or timers logging to wrong date.</t>
        </is>
      </c>
      <c r="D13" s="24" t="inlineStr">
        <is>
          <t>Store all timestamps as `TIMESTAMPTZ` in UTC; send ISO-8601 strings; pass IANA timezone (`Asia/Colombo`) for daily timesheet grouping.</t>
        </is>
      </c>
      <c r="E13" s="37" t="inlineStr">
        <is>
          <t>`go test -v ./pkg/timeutil -run TestTimezoneBoundaryGrouping`</t>
        </is>
      </c>
      <c r="F13" s="26" t="inlineStr">
        <is>
          <t>High</t>
        </is>
      </c>
      <c r="G13" s="26" t="inlineStr">
        <is>
          <t>Pending</t>
        </is>
      </c>
    </row>
    <row r="14" ht="48" customHeight="1">
      <c r="A14" s="28" t="inlineStr">
        <is>
          <t>QA-10</t>
        </is>
      </c>
      <c r="B14" s="30" t="inlineStr">
        <is>
          <t>Go Memory &amp; Concurrency</t>
        </is>
      </c>
      <c r="C14" s="29" t="inlineStr">
        <is>
          <t>Goroutine leak or data race under high load when computing project feasibility dashboards.</t>
        </is>
      </c>
      <c r="D14" s="29" t="inlineStr">
        <is>
          <t>Always pass `ctx context.Context` to DB queries and background goroutines; run entire test suite with Go's `-race` detector enabled.</t>
        </is>
      </c>
      <c r="E14" s="39" t="inlineStr">
        <is>
          <t>`go test -race ./...` &amp; `golangci-lint run`</t>
        </is>
      </c>
      <c r="F14" s="31" t="inlineStr">
        <is>
          <t>Critical</t>
        </is>
      </c>
      <c r="G14" s="31" t="inlineStr">
        <is>
          <t>Pending</t>
        </is>
      </c>
    </row>
  </sheetData>
  <mergeCells count="2">
    <mergeCell ref="A2:G2"/>
    <mergeCell ref="A1:G1"/>
  </mergeCells>
  <conditionalFormatting sqref="G5:G14">
    <cfRule type="cellIs" priority="1" operator="equal" dxfId="0">
      <formula>"Passed"</formula>
    </cfRule>
  </conditionalFormatting>
  <conditionalFormatting sqref="F5:F14">
    <cfRule type="cellIs" priority="2" operator="equal" dxfId="4">
      <formula>"Critical"</formula>
    </cfRule>
    <cfRule type="cellIs" priority="3" operator="equal" dxfId="5">
      <formula>"High"</formula>
    </cfRule>
  </conditionalFormatting>
  <dataValidations count="1">
    <dataValidation sqref="G5:G14" showDropDown="0" showInputMessage="0" showErrorMessage="0" allowBlank="0" type="list">
      <formula1>"Pending,In Review,Passed"</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2026-10-18T12:48:16Z</dcterms:created>
  <dcterms:modified xmlns:dcterms="http://purl.org/dc/terms/" xmlns:xsi="http://www.w3.org/2001/XMLSchema-instance" xsi:type="dcterms:W3CDTF">2026-10-18T12:52:10Z</dcterms:modified>
</cp:coreProperties>
</file>